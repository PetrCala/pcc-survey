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drix-my.sharepoint.com/personal/stanley_hendrix_edu/Documents/Desktop 1/"/>
    </mc:Choice>
  </mc:AlternateContent>
  <xr:revisionPtr revIDLastSave="0" documentId="8_{84FCBDF3-CD56-4BD5-8615-5BFC836573EF}" xr6:coauthVersionLast="47" xr6:coauthVersionMax="47" xr10:uidLastSave="{00000000-0000-0000-0000-000000000000}"/>
  <bookViews>
    <workbookView xWindow="3564" yWindow="1116" windowWidth="13440" windowHeight="12084" xr2:uid="{3E39F84A-E603-425C-97A0-5B1F85095B15}"/>
  </bookViews>
  <sheets>
    <sheet name="psb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" i="1" l="1"/>
  <c r="L178" i="1"/>
  <c r="L176" i="1"/>
  <c r="K176" i="1"/>
  <c r="K174" i="1"/>
  <c r="L174" i="1"/>
  <c r="J17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3" i="1"/>
  <c r="M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3" i="1"/>
  <c r="K2" i="1"/>
  <c r="N174" i="1" l="1"/>
  <c r="N2" i="1"/>
</calcChain>
</file>

<file path=xl/sharedStrings.xml><?xml version="1.0" encoding="utf-8"?>
<sst xmlns="http://schemas.openxmlformats.org/spreadsheetml/2006/main" count="191" uniqueCount="190">
  <si>
    <t>idx</t>
  </si>
  <si>
    <t>meta</t>
  </si>
  <si>
    <t>ess_uwls</t>
  </si>
  <si>
    <t>esig_uwls</t>
  </si>
  <si>
    <t>ess_uwls3</t>
  </si>
  <si>
    <t>esig_uwls3</t>
  </si>
  <si>
    <t>ess_hs</t>
  </si>
  <si>
    <t>esig_hs</t>
  </si>
  <si>
    <t>pss</t>
  </si>
  <si>
    <t>k</t>
  </si>
  <si>
    <t>1. Aid and Growth journals.xlsx</t>
  </si>
  <si>
    <t>10. Stian Inflation and Gov Popularity journal.xlsx</t>
  </si>
  <si>
    <t>12. Natural disasters authors.xlsx</t>
  </si>
  <si>
    <t>13.Education &amp; Inequality journals.xlsx</t>
  </si>
  <si>
    <t>22. POMEROY and  THORNTON Audit Committee Independence journal.xlsx</t>
  </si>
  <si>
    <t>29. Wagner, Stimpert, Fubara, board composition and performance journals.xlsx</t>
  </si>
  <si>
    <t>31. Iamsiraroj Does FDI affect growth.xlsx</t>
  </si>
  <si>
    <t>31. Valickova, Havranek, Horvath  Financial Development and Economic Growth authors.xlsx</t>
  </si>
  <si>
    <t>36. Rhoades et al Board Leadership and Financial Performance journals.xlsx</t>
  </si>
  <si>
    <t>39. Moons economic diplomacy and international economic flows.xlsx</t>
  </si>
  <si>
    <t>43. UK CEO Pay Douc-Haman-Stanley authors.xlsx</t>
  </si>
  <si>
    <t>5. Unions and capital.xlsx</t>
  </si>
  <si>
    <t>53. Karlin et al. Energy Conservation_With Authors.xlsx</t>
  </si>
  <si>
    <t>6. Unions and Intangilbe Capital (2).xlsx</t>
  </si>
  <si>
    <t>65. Rosenbusch, Brinckmann, Bausch Is innovation always beneficial.xlsx</t>
  </si>
  <si>
    <t>68. Ljungwall and Tingvall 2012a is china different export led growth.xlsx</t>
  </si>
  <si>
    <t>7. MA_Union&amp;Satisfaction_PL authors.xlsx</t>
  </si>
  <si>
    <t>70. Ljungwall and  Tingvall 2012b A Meta-Analysis of Chinaâ€™s Financial Sector.xlsx</t>
  </si>
  <si>
    <t>74.Laroche Corporate Social Responsibility authors.xlsx</t>
  </si>
  <si>
    <t>85. Stam et al  Social capital of entrepreneurs and small firm performance.xlsx</t>
  </si>
  <si>
    <t>90. GarcÄ±aMeca and Sanchez-Ballesta Analysts Forecast Errors Journal.xlsx</t>
  </si>
  <si>
    <t>aid and governance.xlsx</t>
  </si>
  <si>
    <t>Aid conditional medicine model.xlsx</t>
  </si>
  <si>
    <t>Aid Conditionality.xlsx</t>
  </si>
  <si>
    <t>Alternative fuel vehicles.xlsx</t>
  </si>
  <si>
    <t>Anger-Prosociality With Authors.xlsx</t>
  </si>
  <si>
    <t>Bel, Fageda, Warner Private vs Public Services.xlsx</t>
  </si>
  <si>
    <t>Cano et al Market Orientation authors_With Authors.xlsx</t>
  </si>
  <si>
    <t>Cognitive ability and risk aversion_With Authors domain of gains.xlsx</t>
  </si>
  <si>
    <t>Cognitive ability and risk aversion_With Authors mixed domain.xlsx</t>
  </si>
  <si>
    <t>Cognitive ability domain of losses With Authors.xlsx</t>
  </si>
  <si>
    <t>Collective Ownership.xlsx</t>
  </si>
  <si>
    <t>Competition and Cooperation in Corporate Governance.xlsx</t>
  </si>
  <si>
    <t>Copy of 64. Sarooghi Libaers Burkemper Creativity and Innovation.xlsx</t>
  </si>
  <si>
    <t>Copy of 8. Stian Unemployment  Govt Popularity.xlsx</t>
  </si>
  <si>
    <t>Copy of 9. Stian Eco Expectations and Govt Popularity.xlsx</t>
  </si>
  <si>
    <t>Copy of Bruno and Cipollina impact of FDI on Economic Performance in the Enlarged Europe - Copy.xlsx</t>
  </si>
  <si>
    <t>Copy of Business Cycle Correlations 2019.xlsx</t>
  </si>
  <si>
    <t>Copy of Corporate carbon and financial performance_With Authors.xlsx</t>
  </si>
  <si>
    <t>Copy of Data_Cazals-Mandon POLITICAL BUDGET CYCLES_With Authors.xlsx</t>
  </si>
  <si>
    <t>Copy of Disinflation and Central Bank Independence_With Authors.xlsx</t>
  </si>
  <si>
    <t>Copy of Eco freedom and growth_With Authors.xlsx</t>
  </si>
  <si>
    <t>Copy of Eco freedom and investment_With Authors.xlsx</t>
  </si>
  <si>
    <t>Copy of Econ Status  Subjective Well-being_With Authors.xlsx</t>
  </si>
  <si>
    <t>Copy of Employee Ownership_With Authors.xlsx</t>
  </si>
  <si>
    <t>Copy of environmental performance and financial_With Authors.xlsx</t>
  </si>
  <si>
    <t>Copy of ethnic discrimination in housing markets_With Authors.xlsx</t>
  </si>
  <si>
    <t>Copy of FX Interventions_With Authors.xlsx</t>
  </si>
  <si>
    <t>Copy of government spending and inequality_With Authors.xlsx</t>
  </si>
  <si>
    <t>Copy of government spending and poverty_With Authors.xlsx</t>
  </si>
  <si>
    <t>Copy of govt education spending and growth_With Authors.xlsx</t>
  </si>
  <si>
    <t>Copy of govt size and per capita income_With Authors.xlsx</t>
  </si>
  <si>
    <t>Copy of HR-enhancing practices and.xlsx</t>
  </si>
  <si>
    <t>Copy of Intrinsic Motivation and Performance_With Authors.xlsx</t>
  </si>
  <si>
    <t>Copy of J-curve_With Authors.xlsx</t>
  </si>
  <si>
    <t>Copy of Master sheet 2019-22-01 Immigration and House Price Meta Data_With Authors.xlsx</t>
  </si>
  <si>
    <t>Copy of Meta-Analysis Data Set - Bessler Conlon  Huan 2018.xlsx</t>
  </si>
  <si>
    <t>Copy of MRA (profitability) April 12 2016 for book with leading.xlsx</t>
  </si>
  <si>
    <t>Copy of Natural Resources and Conflict_With Authors.xlsx</t>
  </si>
  <si>
    <t>Copy of ownership and managerial turnover_With Authors.xlsx</t>
  </si>
  <si>
    <t>Copy of paradox of plenty direct effects_With Authors.xlsx</t>
  </si>
  <si>
    <t>Copy of paradox of plenty indirect effects_With Authors.xlsx</t>
  </si>
  <si>
    <t>Copy of Remittances and education_With Authors.xlsx</t>
  </si>
  <si>
    <t>Copy of remittances_With Authors.xlsx</t>
  </si>
  <si>
    <t>Copy of returns to education in China_With Authors.xlsx</t>
  </si>
  <si>
    <t>Copy of Sefa govt transfers and growth_With Authors.xlsx</t>
  </si>
  <si>
    <t>Copy of Venture capital data.xlsx</t>
  </si>
  <si>
    <t>creditor protection private credit.xlsx</t>
  </si>
  <si>
    <t>creditor protection stock market capitalization.xlsx</t>
  </si>
  <si>
    <t>Democracies and FDI.xlsx</t>
  </si>
  <si>
    <t>Democracy PC.xlsx</t>
  </si>
  <si>
    <t>Democracy SMC.xlsx</t>
  </si>
  <si>
    <t>Discretionary accrual  IFRS adoption_With Authors.xlsx</t>
  </si>
  <si>
    <t>Does growth attract FDI.xlsx</t>
  </si>
  <si>
    <t>Earnings Forecast Accuracy &amp; IFRS adoption_With Authors.xlsx</t>
  </si>
  <si>
    <t>Effectiveness of RD subsidies.xlsx</t>
  </si>
  <si>
    <t>Effectuation and Venture Performance_With Authors.xlsx</t>
  </si>
  <si>
    <t>Entrepreneurial Team Composition.xlsx</t>
  </si>
  <si>
    <t>Environmental regulation and competitiveness.xlsx</t>
  </si>
  <si>
    <t>Export led adoption.xlsx</t>
  </si>
  <si>
    <t>family firm performance over the business cycle .xlsx</t>
  </si>
  <si>
    <t>FDI and Chinese Growth.xlsx</t>
  </si>
  <si>
    <t>Female Representation on boards and firm performance.xlsx</t>
  </si>
  <si>
    <t>Financial crime and growth.xlsx</t>
  </si>
  <si>
    <t>Financial liberalisation and inequality.xlsx</t>
  </si>
  <si>
    <t>Financial openness PC.xlsx</t>
  </si>
  <si>
    <t>Financial openness SMC.xlsx</t>
  </si>
  <si>
    <t>French law PC.xlsx</t>
  </si>
  <si>
    <t>French law SMC.xlsx</t>
  </si>
  <si>
    <t>Gok the role of financial development on carbon emissions.xlsx</t>
  </si>
  <si>
    <t>Governance PC.xlsx</t>
  </si>
  <si>
    <t>Governance SMC.xlsx</t>
  </si>
  <si>
    <t>Govt size and per capita income GOVT spending.xlsx</t>
  </si>
  <si>
    <t>Gratitude and Prosociality With Authors.xlsx</t>
  </si>
  <si>
    <t>Gratitude-Prosociality Trait Relationship With Authors.xlsx</t>
  </si>
  <si>
    <t>Growth as determinant of Aid.xlsx</t>
  </si>
  <si>
    <t>Hang et al Age With Authors.xlsx</t>
  </si>
  <si>
    <t>Hang et al Dividends With Authors.xlsx</t>
  </si>
  <si>
    <t>Hang et al Earnings Volatility With Authors.xlsx</t>
  </si>
  <si>
    <t>Hang et al Firm Growth With Authors.xlsx</t>
  </si>
  <si>
    <t>Hang et al Firm Size With Authors.xlsx</t>
  </si>
  <si>
    <t>Hang et al Growth Opportunities With Authors.xlsx</t>
  </si>
  <si>
    <t>Hang et al Liquidity With Authors.xlsx</t>
  </si>
  <si>
    <t>Hang et al Non-debt tax shield_With Authors.xlsx</t>
  </si>
  <si>
    <t>Hang et al Profitability With Authors.xlsx</t>
  </si>
  <si>
    <t>Hang et al RD With Authors.xlsx</t>
  </si>
  <si>
    <t>Hang et al Tangible Assets_With Authors.xlsx</t>
  </si>
  <si>
    <t>Hang et al Tax With Authors.xlsx</t>
  </si>
  <si>
    <t>ICT &amp; Growth authors.xlsx</t>
  </si>
  <si>
    <t>income and democracy.xlsx</t>
  </si>
  <si>
    <t>Inflation PC.xlsx</t>
  </si>
  <si>
    <t>Inflation SMC.xlsx</t>
  </si>
  <si>
    <t>Institutional quality PC.xlsx</t>
  </si>
  <si>
    <t>Institutional quality SMC.xlsx</t>
  </si>
  <si>
    <t>Institutions and Eco Performance.xlsx</t>
  </si>
  <si>
    <t>Intellectual capital disclosure and age.xlsx</t>
  </si>
  <si>
    <t>Intellectual capital disclosure and industry.xlsx</t>
  </si>
  <si>
    <t>Intellectual capital disclosure and leverage.xlsx</t>
  </si>
  <si>
    <t>Intellectual capital disclosure and profitability.xlsx</t>
  </si>
  <si>
    <t>Intellectual capital disclosure and size.xlsx</t>
  </si>
  <si>
    <t>Intergenerational transmission of education SIBLINGS.xlsx</t>
  </si>
  <si>
    <t>Iwasaki and Tokunaga Macroeconomic Impacts of FDI in Transition Economies.xlsx</t>
  </si>
  <si>
    <t>Koetse de Groot and Florax 2006 The impact of uncertainty on investment authors.xlsx</t>
  </si>
  <si>
    <t>Land tenure in China.xlsx</t>
  </si>
  <si>
    <t>Leonard, Stanley, Doucouliagos Minimum Wage UK journals.xlsx</t>
  </si>
  <si>
    <t>Managerial ties_With Authors.xlsx</t>
  </si>
  <si>
    <t>microcredit and the poor - education.xlsx</t>
  </si>
  <si>
    <t>microcredit and the poor - growth.xlsx</t>
  </si>
  <si>
    <t>microcredit and the poor - health.xlsx</t>
  </si>
  <si>
    <t>microcredit and the poor - well being.xlsx</t>
  </si>
  <si>
    <t>microcredit and the poor - women.xlsx</t>
  </si>
  <si>
    <t>Natural Resources and economic growth.xlsx</t>
  </si>
  <si>
    <t>Observability affect prosociality_With Authors.xlsx</t>
  </si>
  <si>
    <t>Oil and democracy.xlsx</t>
  </si>
  <si>
    <t>Ownership and performance ABACUS sample.xlsx</t>
  </si>
  <si>
    <t>Ownership and performance JOES sample.xlsx</t>
  </si>
  <si>
    <t>ownership concentration and firm performance in Asia.xlsx</t>
  </si>
  <si>
    <t>Participation and Productivity Capitalist Firms.xlsx</t>
  </si>
  <si>
    <t>Participation and Productivity Labor Managed Firms.xlsx</t>
  </si>
  <si>
    <t>Performance Management_With Authors.xlsx</t>
  </si>
  <si>
    <t>Post-privatisation ownership and performance_With Authors.xlsx</t>
  </si>
  <si>
    <t>Pride-Prosociality With Authors.xlsx</t>
  </si>
  <si>
    <t>Public service motivation.xlsx</t>
  </si>
  <si>
    <t>r partiel January 2016 111 studies.xlsx</t>
  </si>
  <si>
    <t>Race to the Bottom Has Filter.xlsx</t>
  </si>
  <si>
    <t>Reed  Spillovers and Exports_With Authors.xlsx</t>
  </si>
  <si>
    <t>Reed Data FDI AND ENTREPRENEURSHIP.xlsx</t>
  </si>
  <si>
    <t>Remittances PC.xlsx</t>
  </si>
  <si>
    <t>Rule of law PC.xlsx</t>
  </si>
  <si>
    <t>Rule of law SMC.xlsx</t>
  </si>
  <si>
    <t>Sefa military and growth.xlsx</t>
  </si>
  <si>
    <t>Shedding light on the shadows of informality.xlsx</t>
  </si>
  <si>
    <t>Shen et al Hospital ownership and performance journals.xlsx</t>
  </si>
  <si>
    <t>Sridevi Yerrabati and Denise Donna Hawkes Copy of 2016-11_Data.xlsx</t>
  </si>
  <si>
    <t>tech adoption and employment.xlsx</t>
  </si>
  <si>
    <t>Technological innovation and employment.xlsx</t>
  </si>
  <si>
    <t>Trade openness PC.xlsx</t>
  </si>
  <si>
    <t>Trade openness SMC.xlsx</t>
  </si>
  <si>
    <t>Tuition and demand for higher education.xlsx</t>
  </si>
  <si>
    <t>Uncertainty avoidance moderates_With Authors.xlsx</t>
  </si>
  <si>
    <t>Unions and Productivity Growth Feb 2016 (k=42).xlsx</t>
  </si>
  <si>
    <t>US Aid Allocations April 26 2019.xlsx</t>
  </si>
  <si>
    <t>Value relevance  IFRS adoption_Price Models_With Authors Book Value Domestic.xlsx</t>
  </si>
  <si>
    <t>Value relevance  IFRS adoption_Price Models_With Authors Book Value.xlsx</t>
  </si>
  <si>
    <t>Value relevance  IFRS adoption_Price Models_With Authors Earnings Domestic.xlsx</t>
  </si>
  <si>
    <t>Value relevance  IFRS adoption_Price Models_With Authors Earnings.xlsx</t>
  </si>
  <si>
    <t>Value relevance &amp; IFRS adoption_Return Models_With Authors Earnings domestic.xlsx</t>
  </si>
  <si>
    <t>Value relevance &amp; IFRS adoption_Return Models_With Authors Earnings.xlsx</t>
  </si>
  <si>
    <t>Wine Ratings.xlsx</t>
  </si>
  <si>
    <t>Working capital management.xlsx</t>
  </si>
  <si>
    <t>Yang and Stanley Microcredit and Income.xlsx</t>
  </si>
  <si>
    <t>Zigraiova Havranek Bank competition  stability with journals_With Authors.xlsx</t>
  </si>
  <si>
    <t>Totals</t>
  </si>
  <si>
    <t>NumberESS</t>
  </si>
  <si>
    <t>NumberEsig</t>
  </si>
  <si>
    <t>NumberSS</t>
  </si>
  <si>
    <t>ESS-check</t>
  </si>
  <si>
    <t>Aggregate</t>
  </si>
  <si>
    <t>PSST z   =</t>
  </si>
  <si>
    <t>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</si>
</sst>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9033-DB9A-4ADD-A697-135A5654ECEE}">
  <dimension ref="A1:N178"/>
  <sheetViews>
    <sheetView tabSelected="1" zoomScale="82" workbookViewId="0">
      <pane ySplit="1" topLeftCell="A158" activePane="bottomLeft" state="frozen"/>
      <selection pane="bottomLeft" activeCell="E177" sqref="E177"/>
    </sheetView>
  </sheetViews>
  <sheetFormatPr defaultRowHeight="14.4" x14ac:dyDescent="0.3"/>
  <cols>
    <col min="10" max="10" width="10" customWidth="1"/>
    <col min="11" max="11" width="11.5546875" customWidth="1"/>
    <col min="12" max="12" width="11.88671875" customWidth="1"/>
    <col min="13" max="13" width="10.88671875" customWidth="1"/>
    <col min="14" max="14" width="10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183</v>
      </c>
      <c r="L1" t="s">
        <v>184</v>
      </c>
      <c r="M1" t="s">
        <v>185</v>
      </c>
      <c r="N1" t="s">
        <v>186</v>
      </c>
    </row>
    <row r="2" spans="1:14" x14ac:dyDescent="0.3">
      <c r="A2">
        <v>1</v>
      </c>
      <c r="B2" t="s">
        <v>10</v>
      </c>
      <c r="C2">
        <v>4.9817360217034298E-2</v>
      </c>
      <c r="D2">
        <v>0.30282605935551898</v>
      </c>
      <c r="E2">
        <v>5.04770742199585E-2</v>
      </c>
      <c r="F2">
        <v>0.30216634535259501</v>
      </c>
      <c r="G2">
        <v>5.6858344929951399E-2</v>
      </c>
      <c r="H2">
        <v>0.29578507464260201</v>
      </c>
      <c r="I2">
        <v>0.35264341957255302</v>
      </c>
      <c r="J2">
        <v>1778</v>
      </c>
      <c r="K2">
        <f>J2*C2</f>
        <v>88.575266465886983</v>
      </c>
      <c r="L2">
        <f>J2*D2</f>
        <v>538.42473353411276</v>
      </c>
      <c r="M2">
        <f>J2*I2</f>
        <v>626.99999999999932</v>
      </c>
      <c r="N2">
        <f>M2-L2</f>
        <v>88.575266465886557</v>
      </c>
    </row>
    <row r="3" spans="1:14" x14ac:dyDescent="0.3">
      <c r="A3">
        <v>2</v>
      </c>
      <c r="B3" t="s">
        <v>11</v>
      </c>
      <c r="C3">
        <v>-6.6073930545022697E-2</v>
      </c>
      <c r="D3">
        <v>0.45933235751131501</v>
      </c>
      <c r="E3">
        <v>-6.3145000670864301E-2</v>
      </c>
      <c r="F3">
        <v>0.45640342763715602</v>
      </c>
      <c r="G3">
        <v>-2.9420037120402899E-2</v>
      </c>
      <c r="H3">
        <v>0.42267846408669502</v>
      </c>
      <c r="I3">
        <v>0.39325842696629199</v>
      </c>
      <c r="J3">
        <v>267</v>
      </c>
      <c r="K3">
        <f>J3*C3</f>
        <v>-17.641739455521058</v>
      </c>
      <c r="L3">
        <f t="shared" ref="L3:L66" si="0">J3*D3</f>
        <v>122.6417394555211</v>
      </c>
      <c r="M3">
        <f>J3*I3</f>
        <v>104.99999999999996</v>
      </c>
      <c r="N3">
        <f t="shared" ref="N3:N66" si="1">M3-L3</f>
        <v>-17.641739455521147</v>
      </c>
    </row>
    <row r="4" spans="1:14" x14ac:dyDescent="0.3">
      <c r="A4">
        <v>3</v>
      </c>
      <c r="B4" t="s">
        <v>12</v>
      </c>
      <c r="C4">
        <v>0.10737788754366399</v>
      </c>
      <c r="D4">
        <v>0.62027574374125305</v>
      </c>
      <c r="E4">
        <v>0.107523611815107</v>
      </c>
      <c r="F4">
        <v>0.62013001946980895</v>
      </c>
      <c r="G4">
        <v>0.11827452238771199</v>
      </c>
      <c r="H4">
        <v>0.60937910889720404</v>
      </c>
      <c r="I4">
        <v>0.727653631284916</v>
      </c>
      <c r="J4">
        <v>716</v>
      </c>
      <c r="K4">
        <f t="shared" ref="K4:K67" si="2">J4*C4</f>
        <v>76.882567481263422</v>
      </c>
      <c r="L4">
        <f t="shared" si="0"/>
        <v>444.11743251873719</v>
      </c>
      <c r="M4">
        <f t="shared" ref="M4:M67" si="3">J4*I4</f>
        <v>520.99999999999989</v>
      </c>
      <c r="N4">
        <f t="shared" si="1"/>
        <v>76.882567481262697</v>
      </c>
    </row>
    <row r="5" spans="1:14" x14ac:dyDescent="0.3">
      <c r="A5">
        <v>4</v>
      </c>
      <c r="B5" t="s">
        <v>13</v>
      </c>
      <c r="C5">
        <v>3.62807058099925E-2</v>
      </c>
      <c r="D5">
        <v>0.298174961979009</v>
      </c>
      <c r="E5">
        <v>3.6581789020335299E-2</v>
      </c>
      <c r="F5">
        <v>0.297873878768666</v>
      </c>
      <c r="G5">
        <v>4.3137396355643197E-2</v>
      </c>
      <c r="H5">
        <v>0.29131827143335798</v>
      </c>
      <c r="I5">
        <v>0.33445566778900099</v>
      </c>
      <c r="J5">
        <v>891</v>
      </c>
      <c r="K5">
        <f t="shared" si="2"/>
        <v>32.326108876703316</v>
      </c>
      <c r="L5">
        <f t="shared" si="0"/>
        <v>265.67389112329704</v>
      </c>
      <c r="M5">
        <f t="shared" si="3"/>
        <v>297.99999999999989</v>
      </c>
      <c r="N5">
        <f t="shared" si="1"/>
        <v>32.326108876702847</v>
      </c>
    </row>
    <row r="6" spans="1:14" x14ac:dyDescent="0.3">
      <c r="A6">
        <v>5</v>
      </c>
      <c r="B6" t="s">
        <v>14</v>
      </c>
      <c r="C6">
        <v>0.102179449805363</v>
      </c>
      <c r="D6">
        <v>0.63856129093537795</v>
      </c>
      <c r="E6">
        <v>0.103570803623816</v>
      </c>
      <c r="F6">
        <v>0.63716993711692405</v>
      </c>
      <c r="G6">
        <v>0.105144278665889</v>
      </c>
      <c r="H6">
        <v>0.63559646207485099</v>
      </c>
      <c r="I6">
        <v>0.74074074074074103</v>
      </c>
      <c r="J6">
        <v>27</v>
      </c>
      <c r="K6">
        <f t="shared" si="2"/>
        <v>2.758845144744801</v>
      </c>
      <c r="L6">
        <f t="shared" si="0"/>
        <v>17.241154855255203</v>
      </c>
      <c r="M6">
        <f t="shared" si="3"/>
        <v>20.000000000000007</v>
      </c>
      <c r="N6">
        <f t="shared" si="1"/>
        <v>2.7588451447448037</v>
      </c>
    </row>
    <row r="7" spans="1:14" x14ac:dyDescent="0.3">
      <c r="A7">
        <v>6</v>
      </c>
      <c r="B7" t="s">
        <v>15</v>
      </c>
      <c r="C7">
        <v>-1.16589724758601E-2</v>
      </c>
      <c r="D7">
        <v>0.26923473005161802</v>
      </c>
      <c r="E7">
        <v>-1.0423321584923401E-2</v>
      </c>
      <c r="F7">
        <v>0.267999079160681</v>
      </c>
      <c r="G7">
        <v>-9.4842368752150498E-3</v>
      </c>
      <c r="H7">
        <v>0.267059994450973</v>
      </c>
      <c r="I7">
        <v>0.25757575757575801</v>
      </c>
      <c r="J7">
        <v>66</v>
      </c>
      <c r="K7">
        <f t="shared" si="2"/>
        <v>-0.76949218340676662</v>
      </c>
      <c r="L7">
        <f t="shared" si="0"/>
        <v>17.76949218340679</v>
      </c>
      <c r="M7">
        <f t="shared" si="3"/>
        <v>17.000000000000028</v>
      </c>
      <c r="N7">
        <f t="shared" si="1"/>
        <v>-0.7694921834067614</v>
      </c>
    </row>
    <row r="8" spans="1:14" x14ac:dyDescent="0.3">
      <c r="A8">
        <v>7</v>
      </c>
      <c r="B8" t="s">
        <v>16</v>
      </c>
      <c r="C8">
        <v>8.2567782971096806E-2</v>
      </c>
      <c r="D8">
        <v>0.34257507417175997</v>
      </c>
      <c r="E8">
        <v>8.3817725856155406E-2</v>
      </c>
      <c r="F8">
        <v>0.341325131286702</v>
      </c>
      <c r="G8">
        <v>8.8822376278391901E-2</v>
      </c>
      <c r="H8">
        <v>0.33632048086446498</v>
      </c>
      <c r="I8">
        <v>0.42514285714285699</v>
      </c>
      <c r="J8">
        <v>875</v>
      </c>
      <c r="K8">
        <f t="shared" si="2"/>
        <v>72.246810099709705</v>
      </c>
      <c r="L8">
        <f t="shared" si="0"/>
        <v>299.75318990028995</v>
      </c>
      <c r="M8">
        <f t="shared" si="3"/>
        <v>371.99999999999989</v>
      </c>
      <c r="N8">
        <f t="shared" si="1"/>
        <v>72.246810099709933</v>
      </c>
    </row>
    <row r="9" spans="1:14" x14ac:dyDescent="0.3">
      <c r="A9">
        <v>8</v>
      </c>
      <c r="B9" t="s">
        <v>17</v>
      </c>
      <c r="C9">
        <v>0.11493066149060099</v>
      </c>
      <c r="D9">
        <v>0.41505434600565</v>
      </c>
      <c r="E9">
        <v>0.11606137900632001</v>
      </c>
      <c r="F9">
        <v>0.41392362848993097</v>
      </c>
      <c r="G9">
        <v>0.140319523482486</v>
      </c>
      <c r="H9">
        <v>0.38966548401376599</v>
      </c>
      <c r="I9">
        <v>0.52998500749625199</v>
      </c>
      <c r="J9">
        <v>1334</v>
      </c>
      <c r="K9">
        <f t="shared" si="2"/>
        <v>153.31750242846172</v>
      </c>
      <c r="L9">
        <f t="shared" si="0"/>
        <v>553.68249757153706</v>
      </c>
      <c r="M9">
        <f t="shared" si="3"/>
        <v>707.00000000000011</v>
      </c>
      <c r="N9">
        <f t="shared" si="1"/>
        <v>153.31750242846306</v>
      </c>
    </row>
    <row r="10" spans="1:14" x14ac:dyDescent="0.3">
      <c r="A10">
        <v>9</v>
      </c>
      <c r="B10" t="s">
        <v>18</v>
      </c>
      <c r="C10">
        <v>-6.9764984942665101E-2</v>
      </c>
      <c r="D10">
        <v>0.23643165160933199</v>
      </c>
      <c r="E10">
        <v>-6.9542729189033398E-2</v>
      </c>
      <c r="F10">
        <v>0.2362093958557</v>
      </c>
      <c r="G10">
        <v>-6.4271621841222495E-2</v>
      </c>
      <c r="H10">
        <v>0.230938288507889</v>
      </c>
      <c r="I10">
        <v>0.16666666666666699</v>
      </c>
      <c r="J10">
        <v>30</v>
      </c>
      <c r="K10">
        <f t="shared" si="2"/>
        <v>-2.0929495482799529</v>
      </c>
      <c r="L10">
        <f t="shared" si="0"/>
        <v>7.09294954827996</v>
      </c>
      <c r="M10">
        <f t="shared" si="3"/>
        <v>5.0000000000000098</v>
      </c>
      <c r="N10">
        <f t="shared" si="1"/>
        <v>-2.0929495482799503</v>
      </c>
    </row>
    <row r="11" spans="1:14" x14ac:dyDescent="0.3">
      <c r="A11">
        <v>10</v>
      </c>
      <c r="B11" t="s">
        <v>19</v>
      </c>
      <c r="C11">
        <v>0.32651481652214798</v>
      </c>
      <c r="D11">
        <v>0.36664191636968402</v>
      </c>
      <c r="E11">
        <v>0.32654296804833899</v>
      </c>
      <c r="F11">
        <v>0.36661376484349301</v>
      </c>
      <c r="G11">
        <v>8.10096299175697E-2</v>
      </c>
      <c r="H11">
        <v>0.612147102974263</v>
      </c>
      <c r="I11">
        <v>0.69315673289183199</v>
      </c>
      <c r="J11">
        <v>453</v>
      </c>
      <c r="K11">
        <f t="shared" si="2"/>
        <v>147.91121188453303</v>
      </c>
      <c r="L11">
        <f t="shared" si="0"/>
        <v>166.08878811546685</v>
      </c>
      <c r="M11">
        <f t="shared" si="3"/>
        <v>313.99999999999989</v>
      </c>
      <c r="N11">
        <f t="shared" si="1"/>
        <v>147.91121188453303</v>
      </c>
    </row>
    <row r="12" spans="1:14" x14ac:dyDescent="0.3">
      <c r="A12">
        <v>11</v>
      </c>
      <c r="B12" t="s">
        <v>20</v>
      </c>
      <c r="C12">
        <v>1.4812859586807999E-2</v>
      </c>
      <c r="D12">
        <v>0.47442393101984598</v>
      </c>
      <c r="E12">
        <v>1.4979539206605099E-2</v>
      </c>
      <c r="F12">
        <v>0.47425725140004799</v>
      </c>
      <c r="G12">
        <v>1.9699433316715802E-2</v>
      </c>
      <c r="H12">
        <v>0.46953735728993801</v>
      </c>
      <c r="I12">
        <v>0.48923679060665398</v>
      </c>
      <c r="J12">
        <v>511</v>
      </c>
      <c r="K12">
        <f t="shared" si="2"/>
        <v>7.5693712488588876</v>
      </c>
      <c r="L12">
        <f t="shared" si="0"/>
        <v>242.43062875114128</v>
      </c>
      <c r="M12">
        <f t="shared" si="3"/>
        <v>250.00000000000017</v>
      </c>
      <c r="N12">
        <f t="shared" si="1"/>
        <v>7.5693712488588858</v>
      </c>
    </row>
    <row r="13" spans="1:14" x14ac:dyDescent="0.3">
      <c r="A13">
        <v>12</v>
      </c>
      <c r="B13" t="s">
        <v>21</v>
      </c>
      <c r="C13">
        <v>5.9950386931903202E-2</v>
      </c>
      <c r="D13">
        <v>0.28307286888205002</v>
      </c>
      <c r="E13">
        <v>6.0054180469913503E-2</v>
      </c>
      <c r="F13">
        <v>0.28296907534403998</v>
      </c>
      <c r="G13">
        <v>5.9409750870219401E-2</v>
      </c>
      <c r="H13">
        <v>0.283613504943734</v>
      </c>
      <c r="I13">
        <v>0.34302325581395299</v>
      </c>
      <c r="J13">
        <v>344</v>
      </c>
      <c r="K13">
        <f t="shared" si="2"/>
        <v>20.622933104574702</v>
      </c>
      <c r="L13">
        <f t="shared" si="0"/>
        <v>97.377066895425202</v>
      </c>
      <c r="M13">
        <f t="shared" si="3"/>
        <v>117.99999999999983</v>
      </c>
      <c r="N13">
        <f t="shared" si="1"/>
        <v>20.622933104574628</v>
      </c>
    </row>
    <row r="14" spans="1:14" x14ac:dyDescent="0.3">
      <c r="A14">
        <v>13</v>
      </c>
      <c r="B14" t="s">
        <v>22</v>
      </c>
      <c r="C14">
        <v>0.30003949781634198</v>
      </c>
      <c r="D14">
        <v>0.22496050218365801</v>
      </c>
      <c r="E14">
        <v>0.30012161026803003</v>
      </c>
      <c r="F14">
        <v>0.224878389731971</v>
      </c>
      <c r="G14">
        <v>0.30072774388464701</v>
      </c>
      <c r="H14">
        <v>0.22427225611535301</v>
      </c>
      <c r="I14">
        <v>0.52500000000000002</v>
      </c>
      <c r="J14">
        <v>40</v>
      </c>
      <c r="K14">
        <f t="shared" si="2"/>
        <v>12.001579912653678</v>
      </c>
      <c r="L14">
        <f t="shared" si="0"/>
        <v>8.9984200873463198</v>
      </c>
      <c r="M14">
        <f t="shared" si="3"/>
        <v>21</v>
      </c>
      <c r="N14">
        <f t="shared" si="1"/>
        <v>12.00157991265368</v>
      </c>
    </row>
    <row r="15" spans="1:14" x14ac:dyDescent="0.3">
      <c r="A15">
        <v>14</v>
      </c>
      <c r="B15" t="s">
        <v>23</v>
      </c>
      <c r="C15">
        <v>-6.2707363825880496E-3</v>
      </c>
      <c r="D15">
        <v>0.47742458253643399</v>
      </c>
      <c r="E15">
        <v>-5.7908200272808602E-3</v>
      </c>
      <c r="F15">
        <v>0.47694466618112702</v>
      </c>
      <c r="G15">
        <v>-1.0640914743394101E-3</v>
      </c>
      <c r="H15">
        <v>0.47221793762818598</v>
      </c>
      <c r="I15">
        <v>0.47115384615384598</v>
      </c>
      <c r="J15">
        <v>208</v>
      </c>
      <c r="K15">
        <f t="shared" si="2"/>
        <v>-1.3043131675783144</v>
      </c>
      <c r="L15">
        <f t="shared" si="0"/>
        <v>99.304313167578272</v>
      </c>
      <c r="M15">
        <f t="shared" si="3"/>
        <v>97.999999999999957</v>
      </c>
      <c r="N15">
        <f t="shared" si="1"/>
        <v>-1.3043131675783144</v>
      </c>
    </row>
    <row r="16" spans="1:14" x14ac:dyDescent="0.3">
      <c r="A16">
        <v>15</v>
      </c>
      <c r="B16" t="s">
        <v>24</v>
      </c>
      <c r="C16">
        <v>0.149671122592412</v>
      </c>
      <c r="D16">
        <v>0.55524691019447303</v>
      </c>
      <c r="E16">
        <v>0.15066842945148101</v>
      </c>
      <c r="F16">
        <v>0.55424960333540396</v>
      </c>
      <c r="G16">
        <v>0.165148344756476</v>
      </c>
      <c r="H16">
        <v>0.53976968803040903</v>
      </c>
      <c r="I16">
        <v>0.70491803278688503</v>
      </c>
      <c r="J16">
        <v>61</v>
      </c>
      <c r="K16">
        <f t="shared" si="2"/>
        <v>9.1299384781371327</v>
      </c>
      <c r="L16">
        <f t="shared" si="0"/>
        <v>33.870061521862851</v>
      </c>
      <c r="M16">
        <f t="shared" si="3"/>
        <v>42.999999999999986</v>
      </c>
      <c r="N16">
        <f t="shared" si="1"/>
        <v>9.1299384781371344</v>
      </c>
    </row>
    <row r="17" spans="1:14" x14ac:dyDescent="0.3">
      <c r="A17">
        <v>16</v>
      </c>
      <c r="B17" t="s">
        <v>25</v>
      </c>
      <c r="C17">
        <v>0.26324782082578901</v>
      </c>
      <c r="D17">
        <v>0.29948982175976202</v>
      </c>
      <c r="E17">
        <v>0.263325646452095</v>
      </c>
      <c r="F17">
        <v>0.29941199613345598</v>
      </c>
      <c r="G17">
        <v>0.26880242312163599</v>
      </c>
      <c r="H17">
        <v>0.29393521946391599</v>
      </c>
      <c r="I17">
        <v>0.56273764258555103</v>
      </c>
      <c r="J17">
        <v>263</v>
      </c>
      <c r="K17">
        <f t="shared" si="2"/>
        <v>69.234176877182506</v>
      </c>
      <c r="L17">
        <f t="shared" si="0"/>
        <v>78.765823122817409</v>
      </c>
      <c r="M17">
        <f t="shared" si="3"/>
        <v>147.99999999999991</v>
      </c>
      <c r="N17">
        <f t="shared" si="1"/>
        <v>69.234176877182506</v>
      </c>
    </row>
    <row r="18" spans="1:14" x14ac:dyDescent="0.3">
      <c r="A18">
        <v>17</v>
      </c>
      <c r="B18" t="s">
        <v>26</v>
      </c>
      <c r="C18">
        <v>0.122851624339278</v>
      </c>
      <c r="D18">
        <v>0.296791232803579</v>
      </c>
      <c r="E18">
        <v>0.12288978508147901</v>
      </c>
      <c r="F18">
        <v>0.29675307206137802</v>
      </c>
      <c r="G18">
        <v>0.105237439466888</v>
      </c>
      <c r="H18">
        <v>0.31440541767596902</v>
      </c>
      <c r="I18">
        <v>0.41964285714285698</v>
      </c>
      <c r="J18">
        <v>224</v>
      </c>
      <c r="K18">
        <f t="shared" si="2"/>
        <v>27.518763851998273</v>
      </c>
      <c r="L18">
        <f t="shared" si="0"/>
        <v>66.481236148001699</v>
      </c>
      <c r="M18">
        <f t="shared" si="3"/>
        <v>93.999999999999972</v>
      </c>
      <c r="N18">
        <f t="shared" si="1"/>
        <v>27.518763851998273</v>
      </c>
    </row>
    <row r="19" spans="1:14" x14ac:dyDescent="0.3">
      <c r="A19">
        <v>18</v>
      </c>
      <c r="B19" t="s">
        <v>27</v>
      </c>
      <c r="C19">
        <v>0.18061437456667601</v>
      </c>
      <c r="D19">
        <v>0.286978218025916</v>
      </c>
      <c r="E19">
        <v>0.18062802247397</v>
      </c>
      <c r="F19">
        <v>0.28696457011862297</v>
      </c>
      <c r="G19">
        <v>0.18107101662236</v>
      </c>
      <c r="H19">
        <v>0.28652157597023298</v>
      </c>
      <c r="I19">
        <v>0.467592592592593</v>
      </c>
      <c r="J19">
        <v>432</v>
      </c>
      <c r="K19">
        <f t="shared" si="2"/>
        <v>78.025409812804028</v>
      </c>
      <c r="L19">
        <f t="shared" si="0"/>
        <v>123.97459018719572</v>
      </c>
      <c r="M19">
        <f t="shared" si="3"/>
        <v>202.00000000000017</v>
      </c>
      <c r="N19">
        <f t="shared" si="1"/>
        <v>78.025409812804455</v>
      </c>
    </row>
    <row r="20" spans="1:14" x14ac:dyDescent="0.3">
      <c r="A20">
        <v>19</v>
      </c>
      <c r="B20" t="s">
        <v>28</v>
      </c>
      <c r="C20">
        <v>-0.14887294322070599</v>
      </c>
      <c r="D20">
        <v>0.66106806517192496</v>
      </c>
      <c r="E20">
        <v>-0.14711159320787401</v>
      </c>
      <c r="F20">
        <v>0.659306715159093</v>
      </c>
      <c r="G20">
        <v>-9.3984738926109701E-2</v>
      </c>
      <c r="H20">
        <v>0.606179860877329</v>
      </c>
      <c r="I20">
        <v>0.51219512195121997</v>
      </c>
      <c r="J20">
        <v>82</v>
      </c>
      <c r="K20">
        <f t="shared" si="2"/>
        <v>-12.207581344097891</v>
      </c>
      <c r="L20">
        <f t="shared" si="0"/>
        <v>54.207581344097846</v>
      </c>
      <c r="M20">
        <f t="shared" si="3"/>
        <v>42.000000000000036</v>
      </c>
      <c r="N20">
        <f t="shared" si="1"/>
        <v>-12.207581344097811</v>
      </c>
    </row>
    <row r="21" spans="1:14" x14ac:dyDescent="0.3">
      <c r="A21">
        <v>20</v>
      </c>
      <c r="B21" t="s">
        <v>29</v>
      </c>
      <c r="C21">
        <v>-0.11981042480316401</v>
      </c>
      <c r="D21">
        <v>0.63705180411350903</v>
      </c>
      <c r="E21">
        <v>-0.117755337713068</v>
      </c>
      <c r="F21">
        <v>0.63499671702341298</v>
      </c>
      <c r="G21">
        <v>-8.0332197965075805E-2</v>
      </c>
      <c r="H21">
        <v>0.59757357727542104</v>
      </c>
      <c r="I21">
        <v>0.51724137931034497</v>
      </c>
      <c r="J21">
        <v>58</v>
      </c>
      <c r="K21">
        <f t="shared" si="2"/>
        <v>-6.9490046385835127</v>
      </c>
      <c r="L21">
        <f t="shared" si="0"/>
        <v>36.949004638583524</v>
      </c>
      <c r="M21">
        <f t="shared" si="3"/>
        <v>30.000000000000007</v>
      </c>
      <c r="N21">
        <f t="shared" si="1"/>
        <v>-6.9490046385835171</v>
      </c>
    </row>
    <row r="22" spans="1:14" x14ac:dyDescent="0.3">
      <c r="A22">
        <v>21</v>
      </c>
      <c r="B22" t="s">
        <v>30</v>
      </c>
      <c r="C22">
        <v>-4.8933362793584498E-2</v>
      </c>
      <c r="D22">
        <v>0.81816413202435401</v>
      </c>
      <c r="E22">
        <v>-4.8916015329694799E-2</v>
      </c>
      <c r="F22">
        <v>0.81814678456046397</v>
      </c>
      <c r="G22">
        <v>-4.6019245588584202E-2</v>
      </c>
      <c r="H22">
        <v>0.815250014819353</v>
      </c>
      <c r="I22">
        <v>0.76923076923076905</v>
      </c>
      <c r="J22">
        <v>26</v>
      </c>
      <c r="K22">
        <f t="shared" si="2"/>
        <v>-1.2722674326331969</v>
      </c>
      <c r="L22">
        <f t="shared" si="0"/>
        <v>21.272267432633203</v>
      </c>
      <c r="M22">
        <f t="shared" si="3"/>
        <v>19.999999999999996</v>
      </c>
      <c r="N22">
        <f t="shared" si="1"/>
        <v>-1.2722674326332069</v>
      </c>
    </row>
    <row r="23" spans="1:14" x14ac:dyDescent="0.3">
      <c r="A23">
        <v>22</v>
      </c>
      <c r="B23" t="s">
        <v>31</v>
      </c>
      <c r="C23">
        <v>-1.18668173149093E-2</v>
      </c>
      <c r="D23">
        <v>0.26227598261769203</v>
      </c>
      <c r="E23">
        <v>-1.2044943798350799E-2</v>
      </c>
      <c r="F23">
        <v>0.26245410910113298</v>
      </c>
      <c r="G23">
        <v>-7.4178907033292498E-3</v>
      </c>
      <c r="H23">
        <v>0.257827056006112</v>
      </c>
      <c r="I23">
        <v>0.25040916530278201</v>
      </c>
      <c r="J23">
        <v>611</v>
      </c>
      <c r="K23">
        <f t="shared" si="2"/>
        <v>-7.2506253794095823</v>
      </c>
      <c r="L23">
        <f t="shared" si="0"/>
        <v>160.25062537940983</v>
      </c>
      <c r="M23">
        <f t="shared" si="3"/>
        <v>152.9999999999998</v>
      </c>
      <c r="N23">
        <f t="shared" si="1"/>
        <v>-7.2506253794100246</v>
      </c>
    </row>
    <row r="24" spans="1:14" x14ac:dyDescent="0.3">
      <c r="A24">
        <v>23</v>
      </c>
      <c r="B24" t="s">
        <v>32</v>
      </c>
      <c r="C24">
        <v>0.11870371039894299</v>
      </c>
      <c r="D24">
        <v>0.57694846351410101</v>
      </c>
      <c r="E24">
        <v>0.122546910341561</v>
      </c>
      <c r="F24">
        <v>0.57310526357148295</v>
      </c>
      <c r="G24">
        <v>0.12190465623576401</v>
      </c>
      <c r="H24">
        <v>0.57374751767727905</v>
      </c>
      <c r="I24">
        <v>0.69565217391304301</v>
      </c>
      <c r="J24">
        <v>115</v>
      </c>
      <c r="K24">
        <f t="shared" si="2"/>
        <v>13.650926695878445</v>
      </c>
      <c r="L24">
        <f t="shared" si="0"/>
        <v>66.349073304121617</v>
      </c>
      <c r="M24">
        <f t="shared" si="3"/>
        <v>79.999999999999943</v>
      </c>
      <c r="N24">
        <f t="shared" si="1"/>
        <v>13.650926695878326</v>
      </c>
    </row>
    <row r="25" spans="1:14" x14ac:dyDescent="0.3">
      <c r="A25">
        <v>24</v>
      </c>
      <c r="B25" t="s">
        <v>33</v>
      </c>
      <c r="C25">
        <v>0.22932847643415299</v>
      </c>
      <c r="D25">
        <v>0.17856626040795301</v>
      </c>
      <c r="E25">
        <v>0.22942292778707399</v>
      </c>
      <c r="F25">
        <v>0.17847180905503099</v>
      </c>
      <c r="G25">
        <v>4.9432823092132198E-2</v>
      </c>
      <c r="H25">
        <v>0.35846191374997299</v>
      </c>
      <c r="I25">
        <v>0.40789473684210498</v>
      </c>
      <c r="J25">
        <v>228</v>
      </c>
      <c r="K25">
        <f t="shared" si="2"/>
        <v>52.286892626986884</v>
      </c>
      <c r="L25">
        <f t="shared" si="0"/>
        <v>40.713107373013287</v>
      </c>
      <c r="M25">
        <f t="shared" si="3"/>
        <v>92.999999999999929</v>
      </c>
      <c r="N25">
        <f t="shared" si="1"/>
        <v>52.286892626986642</v>
      </c>
    </row>
    <row r="26" spans="1:14" x14ac:dyDescent="0.3">
      <c r="A26">
        <v>25</v>
      </c>
      <c r="B26" t="s">
        <v>34</v>
      </c>
      <c r="C26">
        <v>6.2045519988361997E-2</v>
      </c>
      <c r="D26">
        <v>0.88532290106427003</v>
      </c>
      <c r="E26">
        <v>6.2183496265234499E-2</v>
      </c>
      <c r="F26">
        <v>0.88518492478739697</v>
      </c>
      <c r="G26">
        <v>9.0223090663305902E-2</v>
      </c>
      <c r="H26">
        <v>0.85714533038932605</v>
      </c>
      <c r="I26">
        <v>0.94736842105263197</v>
      </c>
      <c r="J26">
        <v>19</v>
      </c>
      <c r="K26">
        <f t="shared" si="2"/>
        <v>1.1788648797788779</v>
      </c>
      <c r="L26">
        <f t="shared" si="0"/>
        <v>16.821135120221129</v>
      </c>
      <c r="M26">
        <f t="shared" si="3"/>
        <v>18.000000000000007</v>
      </c>
      <c r="N26">
        <f t="shared" si="1"/>
        <v>1.1788648797788781</v>
      </c>
    </row>
    <row r="27" spans="1:14" x14ac:dyDescent="0.3">
      <c r="A27">
        <v>26</v>
      </c>
      <c r="B27" t="s">
        <v>35</v>
      </c>
      <c r="C27">
        <v>-8.7622708967403595E-2</v>
      </c>
      <c r="D27">
        <v>0.72176905043081796</v>
      </c>
      <c r="E27">
        <v>-8.6413421210238997E-2</v>
      </c>
      <c r="F27">
        <v>0.72055976267365396</v>
      </c>
      <c r="G27">
        <v>0.13092984829285201</v>
      </c>
      <c r="H27">
        <v>0.50321649317056205</v>
      </c>
      <c r="I27">
        <v>0.63414634146341498</v>
      </c>
      <c r="J27">
        <v>41</v>
      </c>
      <c r="K27">
        <f t="shared" si="2"/>
        <v>-3.5925310676635474</v>
      </c>
      <c r="L27">
        <f t="shared" si="0"/>
        <v>29.592531067663536</v>
      </c>
      <c r="M27">
        <f t="shared" si="3"/>
        <v>26.000000000000014</v>
      </c>
      <c r="N27">
        <f t="shared" si="1"/>
        <v>-3.592531067663522</v>
      </c>
    </row>
    <row r="28" spans="1:14" x14ac:dyDescent="0.3">
      <c r="A28">
        <v>27</v>
      </c>
      <c r="B28" t="s">
        <v>36</v>
      </c>
      <c r="C28">
        <v>-0.20908040603226799</v>
      </c>
      <c r="D28">
        <v>0.853524850476713</v>
      </c>
      <c r="E28">
        <v>-0.20832071114946399</v>
      </c>
      <c r="F28">
        <v>0.85276515559390897</v>
      </c>
      <c r="G28">
        <v>-5.4368107098907098E-3</v>
      </c>
      <c r="H28">
        <v>0.64988125515433504</v>
      </c>
      <c r="I28">
        <v>0.64444444444444404</v>
      </c>
      <c r="J28">
        <v>45</v>
      </c>
      <c r="K28">
        <f t="shared" si="2"/>
        <v>-9.4086182714520596</v>
      </c>
      <c r="L28">
        <f t="shared" si="0"/>
        <v>38.408618271452085</v>
      </c>
      <c r="M28">
        <f t="shared" si="3"/>
        <v>28.999999999999982</v>
      </c>
      <c r="N28">
        <f t="shared" si="1"/>
        <v>-9.4086182714521023</v>
      </c>
    </row>
    <row r="29" spans="1:14" x14ac:dyDescent="0.3">
      <c r="A29">
        <v>28</v>
      </c>
      <c r="B29" t="s">
        <v>37</v>
      </c>
      <c r="C29">
        <v>5.4131027738232702E-2</v>
      </c>
      <c r="D29">
        <v>0.88203918502772505</v>
      </c>
      <c r="E29">
        <v>5.6597104061512797E-2</v>
      </c>
      <c r="F29">
        <v>0.87957310870444505</v>
      </c>
      <c r="G29">
        <v>7.0588793563379701E-2</v>
      </c>
      <c r="H29">
        <v>0.86558141920257803</v>
      </c>
      <c r="I29">
        <v>0.93617021276595702</v>
      </c>
      <c r="J29">
        <v>47</v>
      </c>
      <c r="K29">
        <f t="shared" si="2"/>
        <v>2.5441583036969369</v>
      </c>
      <c r="L29">
        <f t="shared" si="0"/>
        <v>41.455841696303075</v>
      </c>
      <c r="M29">
        <f t="shared" si="3"/>
        <v>43.999999999999979</v>
      </c>
      <c r="N29">
        <f t="shared" si="1"/>
        <v>2.5441583036969035</v>
      </c>
    </row>
    <row r="30" spans="1:14" x14ac:dyDescent="0.3">
      <c r="A30">
        <v>29</v>
      </c>
      <c r="B30" t="s">
        <v>38</v>
      </c>
      <c r="C30">
        <v>-5.21671324845338E-2</v>
      </c>
      <c r="D30">
        <v>0.42450755801644902</v>
      </c>
      <c r="E30">
        <v>-5.1862681146082203E-2</v>
      </c>
      <c r="F30">
        <v>0.42420310667799699</v>
      </c>
      <c r="G30">
        <v>-4.6854550154674303E-2</v>
      </c>
      <c r="H30">
        <v>0.41919497568658898</v>
      </c>
      <c r="I30">
        <v>0.37234042553191499</v>
      </c>
      <c r="J30">
        <v>94</v>
      </c>
      <c r="K30">
        <f t="shared" si="2"/>
        <v>-4.9037104535461769</v>
      </c>
      <c r="L30">
        <f t="shared" si="0"/>
        <v>39.903710453546211</v>
      </c>
      <c r="M30">
        <f t="shared" si="3"/>
        <v>35.000000000000007</v>
      </c>
      <c r="N30">
        <f t="shared" si="1"/>
        <v>-4.9037104535462035</v>
      </c>
    </row>
    <row r="31" spans="1:14" x14ac:dyDescent="0.3">
      <c r="A31">
        <v>30</v>
      </c>
      <c r="B31" t="s">
        <v>39</v>
      </c>
      <c r="C31">
        <v>-0.14483559838204599</v>
      </c>
      <c r="D31">
        <v>0.32432277786922598</v>
      </c>
      <c r="E31">
        <v>-0.144788978941538</v>
      </c>
      <c r="F31">
        <v>0.32427615842871699</v>
      </c>
      <c r="G31">
        <v>-0.142929086371441</v>
      </c>
      <c r="H31">
        <v>0.32241626585861999</v>
      </c>
      <c r="I31">
        <v>0.17948717948717999</v>
      </c>
      <c r="J31">
        <v>39</v>
      </c>
      <c r="K31">
        <f t="shared" si="2"/>
        <v>-5.6485883368997936</v>
      </c>
      <c r="L31">
        <f t="shared" si="0"/>
        <v>12.648588336899813</v>
      </c>
      <c r="M31">
        <f t="shared" si="3"/>
        <v>7.0000000000000195</v>
      </c>
      <c r="N31">
        <f t="shared" si="1"/>
        <v>-5.6485883368997936</v>
      </c>
    </row>
    <row r="32" spans="1:14" x14ac:dyDescent="0.3">
      <c r="A32">
        <v>31</v>
      </c>
      <c r="B32" t="s">
        <v>40</v>
      </c>
      <c r="C32">
        <v>0.13300307948589701</v>
      </c>
      <c r="D32">
        <v>0.200330253847436</v>
      </c>
      <c r="E32">
        <v>0.133601072270706</v>
      </c>
      <c r="F32">
        <v>0.19973226106262701</v>
      </c>
      <c r="G32">
        <v>0.130775048311393</v>
      </c>
      <c r="H32">
        <v>0.20255828502194001</v>
      </c>
      <c r="I32">
        <v>0.33333333333333298</v>
      </c>
      <c r="J32">
        <v>12</v>
      </c>
      <c r="K32">
        <f t="shared" si="2"/>
        <v>1.5960369538307642</v>
      </c>
      <c r="L32">
        <f t="shared" si="0"/>
        <v>2.4039630461692321</v>
      </c>
      <c r="M32">
        <f t="shared" si="3"/>
        <v>3.9999999999999956</v>
      </c>
      <c r="N32">
        <f t="shared" si="1"/>
        <v>1.5960369538307635</v>
      </c>
    </row>
    <row r="33" spans="1:14" x14ac:dyDescent="0.3">
      <c r="A33">
        <v>32</v>
      </c>
      <c r="B33" t="s">
        <v>41</v>
      </c>
      <c r="C33">
        <v>-8.4695668268312804E-2</v>
      </c>
      <c r="D33">
        <v>0.284695668268313</v>
      </c>
      <c r="E33">
        <v>-8.4604367795504204E-2</v>
      </c>
      <c r="F33">
        <v>0.28460436779550402</v>
      </c>
      <c r="G33">
        <v>-8.6964357142919196E-2</v>
      </c>
      <c r="H33">
        <v>0.28696435714291901</v>
      </c>
      <c r="I33">
        <v>0.2</v>
      </c>
      <c r="J33">
        <v>5</v>
      </c>
      <c r="K33">
        <f t="shared" si="2"/>
        <v>-0.42347834134156404</v>
      </c>
      <c r="L33">
        <f t="shared" si="0"/>
        <v>1.423478341341565</v>
      </c>
      <c r="M33">
        <f t="shared" si="3"/>
        <v>1</v>
      </c>
      <c r="N33">
        <f t="shared" si="1"/>
        <v>-0.42347834134156503</v>
      </c>
    </row>
    <row r="34" spans="1:14" x14ac:dyDescent="0.3">
      <c r="A34">
        <v>33</v>
      </c>
      <c r="B34" t="s">
        <v>42</v>
      </c>
      <c r="C34">
        <v>-1.6704291058156601E-2</v>
      </c>
      <c r="D34">
        <v>0.19894728171236201</v>
      </c>
      <c r="E34">
        <v>-1.6703337590654701E-2</v>
      </c>
      <c r="F34">
        <v>0.19894632824486</v>
      </c>
      <c r="G34">
        <v>-1.6402892018873998E-2</v>
      </c>
      <c r="H34">
        <v>0.19864588267308</v>
      </c>
      <c r="I34">
        <v>0.18224299065420599</v>
      </c>
      <c r="J34">
        <v>856</v>
      </c>
      <c r="K34">
        <f t="shared" si="2"/>
        <v>-14.29887314578205</v>
      </c>
      <c r="L34">
        <f t="shared" si="0"/>
        <v>170.29887314578187</v>
      </c>
      <c r="M34">
        <f t="shared" si="3"/>
        <v>156.00000000000031</v>
      </c>
      <c r="N34">
        <f t="shared" si="1"/>
        <v>-14.298873145781556</v>
      </c>
    </row>
    <row r="35" spans="1:14" x14ac:dyDescent="0.3">
      <c r="A35">
        <v>34</v>
      </c>
      <c r="B35" t="s">
        <v>43</v>
      </c>
      <c r="C35">
        <v>-0.15354683068705299</v>
      </c>
      <c r="D35">
        <v>0.97707624245175895</v>
      </c>
      <c r="E35">
        <v>-0.153232427741055</v>
      </c>
      <c r="F35">
        <v>0.97676183950576101</v>
      </c>
      <c r="G35">
        <v>-8.7391657626732205E-2</v>
      </c>
      <c r="H35">
        <v>0.91092106939143802</v>
      </c>
      <c r="I35">
        <v>0.82352941176470595</v>
      </c>
      <c r="J35">
        <v>51</v>
      </c>
      <c r="K35">
        <f t="shared" si="2"/>
        <v>-7.8308883650397023</v>
      </c>
      <c r="L35">
        <f t="shared" si="0"/>
        <v>49.830888365039705</v>
      </c>
      <c r="M35">
        <f t="shared" si="3"/>
        <v>42.000000000000007</v>
      </c>
      <c r="N35">
        <f t="shared" si="1"/>
        <v>-7.8308883650396979</v>
      </c>
    </row>
    <row r="36" spans="1:14" x14ac:dyDescent="0.3">
      <c r="A36">
        <v>35</v>
      </c>
      <c r="B36" t="s">
        <v>44</v>
      </c>
      <c r="C36">
        <v>-6.4375278270017905E-2</v>
      </c>
      <c r="D36">
        <v>0.61710255099729105</v>
      </c>
      <c r="E36">
        <v>-5.98336307299734E-2</v>
      </c>
      <c r="F36">
        <v>0.61256090345724601</v>
      </c>
      <c r="G36" s="1">
        <v>-5.3280401812013598E-5</v>
      </c>
      <c r="H36">
        <v>0.55278055312908503</v>
      </c>
      <c r="I36">
        <v>0.55272727272727296</v>
      </c>
      <c r="J36">
        <v>275</v>
      </c>
      <c r="K36">
        <f t="shared" si="2"/>
        <v>-17.703201524254922</v>
      </c>
      <c r="L36">
        <f t="shared" si="0"/>
        <v>169.70320152425504</v>
      </c>
      <c r="M36">
        <f t="shared" si="3"/>
        <v>152.00000000000006</v>
      </c>
      <c r="N36">
        <f t="shared" si="1"/>
        <v>-17.703201524254979</v>
      </c>
    </row>
    <row r="37" spans="1:14" x14ac:dyDescent="0.3">
      <c r="A37">
        <v>36</v>
      </c>
      <c r="B37" t="s">
        <v>45</v>
      </c>
      <c r="C37">
        <v>0.12509336321046</v>
      </c>
      <c r="D37">
        <v>0.84460360648651001</v>
      </c>
      <c r="E37">
        <v>0.132968184835808</v>
      </c>
      <c r="F37">
        <v>0.83672878486116198</v>
      </c>
      <c r="G37">
        <v>0.153806189231811</v>
      </c>
      <c r="H37">
        <v>0.81589078046515795</v>
      </c>
      <c r="I37">
        <v>0.96969696969696995</v>
      </c>
      <c r="J37">
        <v>99</v>
      </c>
      <c r="K37">
        <f t="shared" si="2"/>
        <v>12.384242957835539</v>
      </c>
      <c r="L37">
        <f t="shared" si="0"/>
        <v>83.615757042164489</v>
      </c>
      <c r="M37">
        <f t="shared" si="3"/>
        <v>96.000000000000028</v>
      </c>
      <c r="N37">
        <f t="shared" si="1"/>
        <v>12.384242957835539</v>
      </c>
    </row>
    <row r="38" spans="1:14" x14ac:dyDescent="0.3">
      <c r="A38">
        <v>37</v>
      </c>
      <c r="B38" t="s">
        <v>46</v>
      </c>
      <c r="C38">
        <v>4.5549090943572602E-2</v>
      </c>
      <c r="D38">
        <v>0.29917330075868498</v>
      </c>
      <c r="E38">
        <v>4.5552514559052799E-2</v>
      </c>
      <c r="F38">
        <v>0.29916987714320498</v>
      </c>
      <c r="G38">
        <v>4.5207047479773499E-2</v>
      </c>
      <c r="H38">
        <v>0.29951534422248399</v>
      </c>
      <c r="I38">
        <v>0.34472239170225699</v>
      </c>
      <c r="J38">
        <v>1639</v>
      </c>
      <c r="K38">
        <f t="shared" si="2"/>
        <v>74.654960056515492</v>
      </c>
      <c r="L38">
        <f t="shared" si="0"/>
        <v>490.34503994348466</v>
      </c>
      <c r="M38">
        <f t="shared" si="3"/>
        <v>564.9999999999992</v>
      </c>
      <c r="N38">
        <f t="shared" si="1"/>
        <v>74.65496005651454</v>
      </c>
    </row>
    <row r="39" spans="1:14" x14ac:dyDescent="0.3">
      <c r="A39">
        <v>38</v>
      </c>
      <c r="B39" t="s">
        <v>47</v>
      </c>
      <c r="C39">
        <v>-5.4561698119378499E-2</v>
      </c>
      <c r="D39">
        <v>0.64271721349008404</v>
      </c>
      <c r="E39">
        <v>-4.29705965270894E-2</v>
      </c>
      <c r="F39">
        <v>0.63112611189779499</v>
      </c>
      <c r="G39">
        <v>-5.33799978350614E-2</v>
      </c>
      <c r="H39">
        <v>0.64153551320576696</v>
      </c>
      <c r="I39">
        <v>0.58815551537070498</v>
      </c>
      <c r="J39">
        <v>2212</v>
      </c>
      <c r="K39">
        <f t="shared" si="2"/>
        <v>-120.69047624006524</v>
      </c>
      <c r="L39">
        <f t="shared" si="0"/>
        <v>1421.6904762400659</v>
      </c>
      <c r="M39">
        <f t="shared" si="3"/>
        <v>1300.9999999999993</v>
      </c>
      <c r="N39">
        <f t="shared" si="1"/>
        <v>-120.69047624006657</v>
      </c>
    </row>
    <row r="40" spans="1:14" x14ac:dyDescent="0.3">
      <c r="A40">
        <v>39</v>
      </c>
      <c r="B40" t="s">
        <v>48</v>
      </c>
      <c r="C40">
        <v>-8.6998166490463002E-3</v>
      </c>
      <c r="D40">
        <v>0.48631175694755402</v>
      </c>
      <c r="E40">
        <v>-8.4922701079389509E-3</v>
      </c>
      <c r="F40">
        <v>0.48610421040644602</v>
      </c>
      <c r="G40">
        <v>7.9131973857131995E-4</v>
      </c>
      <c r="H40">
        <v>0.47682062055993601</v>
      </c>
      <c r="I40">
        <v>0.47761194029850701</v>
      </c>
      <c r="J40">
        <v>67</v>
      </c>
      <c r="K40">
        <f t="shared" si="2"/>
        <v>-0.58288771548610208</v>
      </c>
      <c r="L40">
        <f t="shared" si="0"/>
        <v>32.582887715486116</v>
      </c>
      <c r="M40">
        <f t="shared" si="3"/>
        <v>31.999999999999968</v>
      </c>
      <c r="N40">
        <f t="shared" si="1"/>
        <v>-0.58288771548614804</v>
      </c>
    </row>
    <row r="41" spans="1:14" x14ac:dyDescent="0.3">
      <c r="A41">
        <v>40</v>
      </c>
      <c r="B41" t="s">
        <v>49</v>
      </c>
      <c r="C41">
        <v>7.7672587186287695E-2</v>
      </c>
      <c r="D41">
        <v>0.25013449646103703</v>
      </c>
      <c r="E41">
        <v>7.7814820574770294E-2</v>
      </c>
      <c r="F41">
        <v>0.24999226307255501</v>
      </c>
      <c r="G41">
        <v>7.7772702660993301E-2</v>
      </c>
      <c r="H41">
        <v>0.25003438098633202</v>
      </c>
      <c r="I41">
        <v>0.32780708364732503</v>
      </c>
      <c r="J41">
        <v>1327</v>
      </c>
      <c r="K41">
        <f t="shared" si="2"/>
        <v>103.07152319620377</v>
      </c>
      <c r="L41">
        <f t="shared" si="0"/>
        <v>331.92847680379612</v>
      </c>
      <c r="M41">
        <f t="shared" si="3"/>
        <v>435.00000000000028</v>
      </c>
      <c r="N41">
        <f t="shared" si="1"/>
        <v>103.07152319620417</v>
      </c>
    </row>
    <row r="42" spans="1:14" x14ac:dyDescent="0.3">
      <c r="A42">
        <v>41</v>
      </c>
      <c r="B42" t="s">
        <v>50</v>
      </c>
      <c r="C42">
        <v>-3.59353339440232E-2</v>
      </c>
      <c r="D42">
        <v>0.36486690657307502</v>
      </c>
      <c r="E42">
        <v>-3.5582330914882603E-2</v>
      </c>
      <c r="F42">
        <v>0.36451390354393398</v>
      </c>
      <c r="G42">
        <v>1.48358140849349E-2</v>
      </c>
      <c r="H42">
        <v>0.31409575854411698</v>
      </c>
      <c r="I42">
        <v>0.32893157262905198</v>
      </c>
      <c r="J42">
        <v>833</v>
      </c>
      <c r="K42">
        <f t="shared" si="2"/>
        <v>-29.934133175371326</v>
      </c>
      <c r="L42">
        <f t="shared" si="0"/>
        <v>303.93413317537147</v>
      </c>
      <c r="M42">
        <f t="shared" si="3"/>
        <v>274.00000000000028</v>
      </c>
      <c r="N42">
        <f t="shared" si="1"/>
        <v>-29.934133175371187</v>
      </c>
    </row>
    <row r="43" spans="1:14" x14ac:dyDescent="0.3">
      <c r="A43">
        <v>42</v>
      </c>
      <c r="B43" t="s">
        <v>51</v>
      </c>
      <c r="C43">
        <v>2.1636739973989402E-2</v>
      </c>
      <c r="D43">
        <v>0.62701190867465895</v>
      </c>
      <c r="E43">
        <v>2.6125926483900299E-2</v>
      </c>
      <c r="F43">
        <v>0.62252272216474802</v>
      </c>
      <c r="G43">
        <v>9.2132312570032598E-2</v>
      </c>
      <c r="H43">
        <v>0.55651633607861595</v>
      </c>
      <c r="I43">
        <v>0.64864864864864902</v>
      </c>
      <c r="J43">
        <v>148</v>
      </c>
      <c r="K43">
        <f t="shared" si="2"/>
        <v>3.2022375161504315</v>
      </c>
      <c r="L43">
        <f t="shared" si="0"/>
        <v>92.797762483849525</v>
      </c>
      <c r="M43">
        <f t="shared" si="3"/>
        <v>96.000000000000057</v>
      </c>
      <c r="N43">
        <f t="shared" si="1"/>
        <v>3.2022375161505323</v>
      </c>
    </row>
    <row r="44" spans="1:14" x14ac:dyDescent="0.3">
      <c r="A44">
        <v>43</v>
      </c>
      <c r="B44" t="s">
        <v>52</v>
      </c>
      <c r="C44">
        <v>3.9613016108810302E-2</v>
      </c>
      <c r="D44">
        <v>0.66038698389118999</v>
      </c>
      <c r="E44">
        <v>4.4758686053327397E-2</v>
      </c>
      <c r="F44">
        <v>0.65524131394667295</v>
      </c>
      <c r="G44">
        <v>6.2495802990236902E-2</v>
      </c>
      <c r="H44">
        <v>0.63750419700976302</v>
      </c>
      <c r="I44">
        <v>0.7</v>
      </c>
      <c r="J44">
        <v>10</v>
      </c>
      <c r="K44">
        <f t="shared" si="2"/>
        <v>0.39613016108810301</v>
      </c>
      <c r="L44">
        <f t="shared" si="0"/>
        <v>6.6038698389118995</v>
      </c>
      <c r="M44">
        <f t="shared" si="3"/>
        <v>7</v>
      </c>
      <c r="N44">
        <f t="shared" si="1"/>
        <v>0.39613016108810051</v>
      </c>
    </row>
    <row r="45" spans="1:14" x14ac:dyDescent="0.3">
      <c r="A45">
        <v>44</v>
      </c>
      <c r="B45" t="s">
        <v>53</v>
      </c>
      <c r="C45">
        <v>7.6179852578264805E-4</v>
      </c>
      <c r="D45">
        <v>0.85509405733007304</v>
      </c>
      <c r="E45">
        <v>1.1172245960863001E-3</v>
      </c>
      <c r="F45">
        <v>0.85473863125977001</v>
      </c>
      <c r="G45">
        <v>1.45649719129901E-2</v>
      </c>
      <c r="H45">
        <v>0.841290883942866</v>
      </c>
      <c r="I45">
        <v>0.855855855855856</v>
      </c>
      <c r="J45">
        <v>111</v>
      </c>
      <c r="K45">
        <f t="shared" si="2"/>
        <v>8.4559636361873927E-2</v>
      </c>
      <c r="L45">
        <f t="shared" si="0"/>
        <v>94.915440363638112</v>
      </c>
      <c r="M45">
        <f t="shared" si="3"/>
        <v>95.000000000000014</v>
      </c>
      <c r="N45">
        <f t="shared" si="1"/>
        <v>8.4559636361902335E-2</v>
      </c>
    </row>
    <row r="46" spans="1:14" x14ac:dyDescent="0.3">
      <c r="A46">
        <v>45</v>
      </c>
      <c r="B46" t="s">
        <v>54</v>
      </c>
      <c r="C46">
        <v>-1.8891145072384902E-2</v>
      </c>
      <c r="D46">
        <v>0.228891145072385</v>
      </c>
      <c r="E46">
        <v>-1.85078496380859E-2</v>
      </c>
      <c r="F46">
        <v>0.22850784963808601</v>
      </c>
      <c r="G46">
        <v>-1.6213587886953901E-2</v>
      </c>
      <c r="H46">
        <v>0.226213587886954</v>
      </c>
      <c r="I46">
        <v>0.21</v>
      </c>
      <c r="J46">
        <v>100</v>
      </c>
      <c r="K46">
        <f t="shared" si="2"/>
        <v>-1.8891145072384901</v>
      </c>
      <c r="L46">
        <f t="shared" si="0"/>
        <v>22.889114507238499</v>
      </c>
      <c r="M46">
        <f t="shared" si="3"/>
        <v>21</v>
      </c>
      <c r="N46">
        <f t="shared" si="1"/>
        <v>-1.8891145072384994</v>
      </c>
    </row>
    <row r="47" spans="1:14" x14ac:dyDescent="0.3">
      <c r="A47">
        <v>46</v>
      </c>
      <c r="B47" t="s">
        <v>55</v>
      </c>
      <c r="C47">
        <v>7.19240683153324E-3</v>
      </c>
      <c r="D47">
        <v>0.35562954165670901</v>
      </c>
      <c r="E47">
        <v>7.9872304745900406E-3</v>
      </c>
      <c r="F47">
        <v>0.35483471801365202</v>
      </c>
      <c r="G47">
        <v>1.6347851823409799E-2</v>
      </c>
      <c r="H47">
        <v>0.34647409666483198</v>
      </c>
      <c r="I47">
        <v>0.36282194848824201</v>
      </c>
      <c r="J47">
        <v>893</v>
      </c>
      <c r="K47">
        <f t="shared" si="2"/>
        <v>6.4228193005591834</v>
      </c>
      <c r="L47">
        <f t="shared" si="0"/>
        <v>317.57718069944116</v>
      </c>
      <c r="M47">
        <f t="shared" si="3"/>
        <v>324.00000000000011</v>
      </c>
      <c r="N47">
        <f t="shared" si="1"/>
        <v>6.422819300558956</v>
      </c>
    </row>
    <row r="48" spans="1:14" x14ac:dyDescent="0.3">
      <c r="A48">
        <v>47</v>
      </c>
      <c r="B48" t="s">
        <v>56</v>
      </c>
      <c r="C48">
        <v>0.16505216484740801</v>
      </c>
      <c r="D48">
        <v>0.55325769430752103</v>
      </c>
      <c r="E48">
        <v>0.16576458402474301</v>
      </c>
      <c r="F48">
        <v>0.55254527513018603</v>
      </c>
      <c r="G48">
        <v>0.17323101174505401</v>
      </c>
      <c r="H48">
        <v>0.545078847409875</v>
      </c>
      <c r="I48">
        <v>0.71830985915492995</v>
      </c>
      <c r="J48">
        <v>71</v>
      </c>
      <c r="K48">
        <f t="shared" si="2"/>
        <v>11.718703704165968</v>
      </c>
      <c r="L48">
        <f t="shared" si="0"/>
        <v>39.281296295833997</v>
      </c>
      <c r="M48">
        <f t="shared" si="3"/>
        <v>51.000000000000028</v>
      </c>
      <c r="N48">
        <f t="shared" si="1"/>
        <v>11.718703704166032</v>
      </c>
    </row>
    <row r="49" spans="1:14" x14ac:dyDescent="0.3">
      <c r="A49">
        <v>48</v>
      </c>
      <c r="B49" t="s">
        <v>57</v>
      </c>
      <c r="C49">
        <v>-3.7020534982315299E-2</v>
      </c>
      <c r="D49">
        <v>0.40544158761389398</v>
      </c>
      <c r="E49">
        <v>-3.69804762499494E-2</v>
      </c>
      <c r="F49">
        <v>0.40540152888152797</v>
      </c>
      <c r="G49">
        <v>-3.4808928344691702E-2</v>
      </c>
      <c r="H49">
        <v>0.403229980976271</v>
      </c>
      <c r="I49">
        <v>0.36842105263157898</v>
      </c>
      <c r="J49">
        <v>19</v>
      </c>
      <c r="K49">
        <f t="shared" si="2"/>
        <v>-0.70339016466399074</v>
      </c>
      <c r="L49">
        <f t="shared" si="0"/>
        <v>7.7033901646639853</v>
      </c>
      <c r="M49">
        <f t="shared" si="3"/>
        <v>7.0000000000000009</v>
      </c>
      <c r="N49">
        <f t="shared" si="1"/>
        <v>-0.70339016466398441</v>
      </c>
    </row>
    <row r="50" spans="1:14" x14ac:dyDescent="0.3">
      <c r="A50">
        <v>49</v>
      </c>
      <c r="B50" t="s">
        <v>58</v>
      </c>
      <c r="C50">
        <v>-7.4919921183890202E-3</v>
      </c>
      <c r="D50">
        <v>0.37408863077385102</v>
      </c>
      <c r="E50">
        <v>-6.8572917716053497E-3</v>
      </c>
      <c r="F50">
        <v>0.37345393042706798</v>
      </c>
      <c r="G50">
        <v>1.09122311110697E-2</v>
      </c>
      <c r="H50">
        <v>0.35568440754439301</v>
      </c>
      <c r="I50">
        <v>0.36659663865546199</v>
      </c>
      <c r="J50">
        <v>952</v>
      </c>
      <c r="K50">
        <f t="shared" si="2"/>
        <v>-7.132376496706347</v>
      </c>
      <c r="L50">
        <f t="shared" si="0"/>
        <v>356.13237649670617</v>
      </c>
      <c r="M50">
        <f t="shared" si="3"/>
        <v>348.99999999999983</v>
      </c>
      <c r="N50">
        <f t="shared" si="1"/>
        <v>-7.1323764967063426</v>
      </c>
    </row>
    <row r="51" spans="1:14" x14ac:dyDescent="0.3">
      <c r="A51">
        <v>50</v>
      </c>
      <c r="B51" t="s">
        <v>59</v>
      </c>
      <c r="C51">
        <v>3.9851003808091798E-2</v>
      </c>
      <c r="D51">
        <v>0.33884722104397902</v>
      </c>
      <c r="E51">
        <v>4.2627727068976398E-2</v>
      </c>
      <c r="F51">
        <v>0.336070497783095</v>
      </c>
      <c r="G51">
        <v>4.4905727439986901E-2</v>
      </c>
      <c r="H51">
        <v>0.333792497412084</v>
      </c>
      <c r="I51">
        <v>0.378698224852071</v>
      </c>
      <c r="J51">
        <v>169</v>
      </c>
      <c r="K51">
        <f t="shared" si="2"/>
        <v>6.7348196435675138</v>
      </c>
      <c r="L51">
        <f t="shared" si="0"/>
        <v>57.265180356432452</v>
      </c>
      <c r="M51">
        <f t="shared" si="3"/>
        <v>64</v>
      </c>
      <c r="N51">
        <f t="shared" si="1"/>
        <v>6.7348196435675476</v>
      </c>
    </row>
    <row r="52" spans="1:14" x14ac:dyDescent="0.3">
      <c r="A52">
        <v>51</v>
      </c>
      <c r="B52" t="s">
        <v>60</v>
      </c>
      <c r="C52">
        <v>4.5142680333750497E-2</v>
      </c>
      <c r="D52">
        <v>0.35992061080548998</v>
      </c>
      <c r="E52">
        <v>4.6570189359599903E-2</v>
      </c>
      <c r="F52">
        <v>0.358493101779641</v>
      </c>
      <c r="G52">
        <v>6.0052137504302099E-2</v>
      </c>
      <c r="H52">
        <v>0.34501115363493801</v>
      </c>
      <c r="I52">
        <v>0.40506329113924</v>
      </c>
      <c r="J52">
        <v>237</v>
      </c>
      <c r="K52">
        <f t="shared" si="2"/>
        <v>10.698815239098868</v>
      </c>
      <c r="L52">
        <f t="shared" si="0"/>
        <v>85.301184760901123</v>
      </c>
      <c r="M52">
        <f t="shared" si="3"/>
        <v>95.999999999999886</v>
      </c>
      <c r="N52">
        <f t="shared" si="1"/>
        <v>10.698815239098764</v>
      </c>
    </row>
    <row r="53" spans="1:14" x14ac:dyDescent="0.3">
      <c r="A53">
        <v>52</v>
      </c>
      <c r="B53" t="s">
        <v>61</v>
      </c>
      <c r="C53">
        <v>0.109984682574192</v>
      </c>
      <c r="D53">
        <v>0.29390826146473797</v>
      </c>
      <c r="E53">
        <v>0.110493616558788</v>
      </c>
      <c r="F53">
        <v>0.29339932748014202</v>
      </c>
      <c r="G53">
        <v>0.114231477106622</v>
      </c>
      <c r="H53">
        <v>0.28966146693230699</v>
      </c>
      <c r="I53">
        <v>0.403892944038929</v>
      </c>
      <c r="J53">
        <v>411</v>
      </c>
      <c r="K53">
        <f t="shared" si="2"/>
        <v>45.203704537992913</v>
      </c>
      <c r="L53">
        <f t="shared" si="0"/>
        <v>120.79629546200731</v>
      </c>
      <c r="M53">
        <f t="shared" si="3"/>
        <v>165.99999999999983</v>
      </c>
      <c r="N53">
        <f t="shared" si="1"/>
        <v>45.203704537992522</v>
      </c>
    </row>
    <row r="54" spans="1:14" x14ac:dyDescent="0.3">
      <c r="A54">
        <v>53</v>
      </c>
      <c r="B54" t="s">
        <v>62</v>
      </c>
      <c r="C54">
        <v>4.4497264009545102E-2</v>
      </c>
      <c r="D54">
        <v>0.74121702170474102</v>
      </c>
      <c r="E54">
        <v>4.6169757665698703E-2</v>
      </c>
      <c r="F54">
        <v>0.73954452804858695</v>
      </c>
      <c r="G54">
        <v>9.0711601102794595E-2</v>
      </c>
      <c r="H54">
        <v>0.69500268461149095</v>
      </c>
      <c r="I54">
        <v>0.78571428571428603</v>
      </c>
      <c r="J54">
        <v>56</v>
      </c>
      <c r="K54">
        <f t="shared" si="2"/>
        <v>2.4918467845345256</v>
      </c>
      <c r="L54">
        <f t="shared" si="0"/>
        <v>41.508153215465498</v>
      </c>
      <c r="M54">
        <f t="shared" si="3"/>
        <v>44.000000000000014</v>
      </c>
      <c r="N54">
        <f t="shared" si="1"/>
        <v>2.4918467845345162</v>
      </c>
    </row>
    <row r="55" spans="1:14" x14ac:dyDescent="0.3">
      <c r="A55">
        <v>54</v>
      </c>
      <c r="B55" t="s">
        <v>63</v>
      </c>
      <c r="C55">
        <v>7.0869335966522701E-2</v>
      </c>
      <c r="D55">
        <v>0.69962246731216604</v>
      </c>
      <c r="E55">
        <v>7.1429300045380603E-2</v>
      </c>
      <c r="F55">
        <v>0.69906250323330799</v>
      </c>
      <c r="G55">
        <v>7.9435267856931405E-2</v>
      </c>
      <c r="H55">
        <v>0.69105653542175705</v>
      </c>
      <c r="I55">
        <v>0.77049180327868805</v>
      </c>
      <c r="J55">
        <v>183</v>
      </c>
      <c r="K55">
        <f t="shared" si="2"/>
        <v>12.969088481873655</v>
      </c>
      <c r="L55">
        <f t="shared" si="0"/>
        <v>128.03091151812637</v>
      </c>
      <c r="M55">
        <f t="shared" si="3"/>
        <v>140.99999999999991</v>
      </c>
      <c r="N55">
        <f t="shared" si="1"/>
        <v>12.969088481873541</v>
      </c>
    </row>
    <row r="56" spans="1:14" x14ac:dyDescent="0.3">
      <c r="A56">
        <v>55</v>
      </c>
      <c r="B56" t="s">
        <v>64</v>
      </c>
      <c r="C56">
        <v>9.3298080891755595E-3</v>
      </c>
      <c r="D56">
        <v>0.32455061395068402</v>
      </c>
      <c r="E56">
        <v>9.5987315062378807E-3</v>
      </c>
      <c r="F56">
        <v>0.32428169053362099</v>
      </c>
      <c r="G56">
        <v>2.0691001101313201E-2</v>
      </c>
      <c r="H56">
        <v>0.31318942093854601</v>
      </c>
      <c r="I56">
        <v>0.33388042203985902</v>
      </c>
      <c r="J56">
        <v>4265</v>
      </c>
      <c r="K56">
        <f t="shared" si="2"/>
        <v>39.791631500333764</v>
      </c>
      <c r="L56">
        <f t="shared" si="0"/>
        <v>1384.2083684996674</v>
      </c>
      <c r="M56">
        <f t="shared" si="3"/>
        <v>1423.9999999999986</v>
      </c>
      <c r="N56">
        <f t="shared" si="1"/>
        <v>39.791631500331277</v>
      </c>
    </row>
    <row r="57" spans="1:14" x14ac:dyDescent="0.3">
      <c r="A57">
        <v>56</v>
      </c>
      <c r="B57" t="s">
        <v>65</v>
      </c>
      <c r="C57">
        <v>0.11628286564632399</v>
      </c>
      <c r="D57">
        <v>0.31407056470710598</v>
      </c>
      <c r="E57">
        <v>0.11630718103632701</v>
      </c>
      <c r="F57">
        <v>0.31404624931710301</v>
      </c>
      <c r="G57">
        <v>0.116572544968378</v>
      </c>
      <c r="H57">
        <v>0.313780885385052</v>
      </c>
      <c r="I57">
        <v>0.43035343035342999</v>
      </c>
      <c r="J57">
        <v>481</v>
      </c>
      <c r="K57">
        <f t="shared" si="2"/>
        <v>55.932058375881844</v>
      </c>
      <c r="L57">
        <f t="shared" si="0"/>
        <v>151.06794162411796</v>
      </c>
      <c r="M57">
        <f t="shared" si="3"/>
        <v>206.99999999999983</v>
      </c>
      <c r="N57">
        <f t="shared" si="1"/>
        <v>55.932058375881866</v>
      </c>
    </row>
    <row r="58" spans="1:14" x14ac:dyDescent="0.3">
      <c r="A58">
        <v>57</v>
      </c>
      <c r="B58" t="s">
        <v>66</v>
      </c>
      <c r="C58">
        <v>0.112352123233302</v>
      </c>
      <c r="D58">
        <v>0.27895222459278501</v>
      </c>
      <c r="E58">
        <v>0.11253683162393199</v>
      </c>
      <c r="F58">
        <v>0.27876751620215501</v>
      </c>
      <c r="G58">
        <v>0.119102541894844</v>
      </c>
      <c r="H58">
        <v>0.27220180593124299</v>
      </c>
      <c r="I58">
        <v>0.39130434782608697</v>
      </c>
      <c r="J58">
        <v>414</v>
      </c>
      <c r="K58">
        <f t="shared" si="2"/>
        <v>46.51377901858703</v>
      </c>
      <c r="L58">
        <f t="shared" si="0"/>
        <v>115.486220981413</v>
      </c>
      <c r="M58">
        <f t="shared" si="3"/>
        <v>162</v>
      </c>
      <c r="N58">
        <f t="shared" si="1"/>
        <v>46.513779018587002</v>
      </c>
    </row>
    <row r="59" spans="1:14" x14ac:dyDescent="0.3">
      <c r="A59">
        <v>58</v>
      </c>
      <c r="B59" t="s">
        <v>67</v>
      </c>
      <c r="C59">
        <v>0.12854756630640901</v>
      </c>
      <c r="D59">
        <v>0.41294620962720102</v>
      </c>
      <c r="E59">
        <v>0.128959226747728</v>
      </c>
      <c r="F59">
        <v>0.412534549185882</v>
      </c>
      <c r="G59">
        <v>0.13054601162073801</v>
      </c>
      <c r="H59">
        <v>0.410947764312872</v>
      </c>
      <c r="I59">
        <v>0.54149377593361003</v>
      </c>
      <c r="J59">
        <v>482</v>
      </c>
      <c r="K59">
        <f t="shared" si="2"/>
        <v>61.959926959689142</v>
      </c>
      <c r="L59">
        <f t="shared" si="0"/>
        <v>199.04007304031089</v>
      </c>
      <c r="M59">
        <f t="shared" si="3"/>
        <v>261.00000000000006</v>
      </c>
      <c r="N59">
        <f t="shared" si="1"/>
        <v>61.95992695968917</v>
      </c>
    </row>
    <row r="60" spans="1:14" x14ac:dyDescent="0.3">
      <c r="A60">
        <v>59</v>
      </c>
      <c r="B60" t="s">
        <v>68</v>
      </c>
      <c r="C60">
        <v>-0.13015283898864299</v>
      </c>
      <c r="D60">
        <v>0.64155968309510603</v>
      </c>
      <c r="E60">
        <v>-0.13014272026651699</v>
      </c>
      <c r="F60">
        <v>0.64154956437298105</v>
      </c>
      <c r="G60">
        <v>8.0538288090939103E-2</v>
      </c>
      <c r="H60">
        <v>0.43086855601552498</v>
      </c>
      <c r="I60">
        <v>0.51140684410646398</v>
      </c>
      <c r="J60">
        <v>526</v>
      </c>
      <c r="K60">
        <f t="shared" si="2"/>
        <v>-68.460393308026212</v>
      </c>
      <c r="L60">
        <f t="shared" si="0"/>
        <v>337.46039330802574</v>
      </c>
      <c r="M60">
        <f t="shared" si="3"/>
        <v>269.00000000000006</v>
      </c>
      <c r="N60">
        <f t="shared" si="1"/>
        <v>-68.460393308025687</v>
      </c>
    </row>
    <row r="61" spans="1:14" x14ac:dyDescent="0.3">
      <c r="A61">
        <v>60</v>
      </c>
      <c r="B61" t="s">
        <v>69</v>
      </c>
      <c r="C61">
        <v>-1.5133096081718001E-2</v>
      </c>
      <c r="D61">
        <v>0.218836799785422</v>
      </c>
      <c r="E61">
        <v>-1.5118258838061401E-2</v>
      </c>
      <c r="F61">
        <v>0.218821962541765</v>
      </c>
      <c r="G61">
        <v>-1.44513565421473E-2</v>
      </c>
      <c r="H61">
        <v>0.21815506024585099</v>
      </c>
      <c r="I61">
        <v>0.203703703703704</v>
      </c>
      <c r="J61">
        <v>756</v>
      </c>
      <c r="K61">
        <f t="shared" si="2"/>
        <v>-11.440620637778808</v>
      </c>
      <c r="L61">
        <f t="shared" si="0"/>
        <v>165.44062063777903</v>
      </c>
      <c r="M61">
        <f t="shared" si="3"/>
        <v>154.00000000000023</v>
      </c>
      <c r="N61">
        <f t="shared" si="1"/>
        <v>-11.440620637778807</v>
      </c>
    </row>
    <row r="62" spans="1:14" x14ac:dyDescent="0.3">
      <c r="A62">
        <v>61</v>
      </c>
      <c r="B62" t="s">
        <v>70</v>
      </c>
      <c r="C62">
        <v>6.0590962426086198E-3</v>
      </c>
      <c r="D62">
        <v>0.32228848210497002</v>
      </c>
      <c r="E62">
        <v>6.3690977293953104E-3</v>
      </c>
      <c r="F62">
        <v>0.32197848061818302</v>
      </c>
      <c r="G62">
        <v>1.28247920325855E-2</v>
      </c>
      <c r="H62">
        <v>0.31552278631499298</v>
      </c>
      <c r="I62">
        <v>0.328347578347578</v>
      </c>
      <c r="J62">
        <v>1404</v>
      </c>
      <c r="K62">
        <f t="shared" si="2"/>
        <v>8.5069711246225026</v>
      </c>
      <c r="L62">
        <f t="shared" si="0"/>
        <v>452.49302887537789</v>
      </c>
      <c r="M62">
        <f t="shared" si="3"/>
        <v>460.99999999999949</v>
      </c>
      <c r="N62">
        <f t="shared" si="1"/>
        <v>8.5069711246216002</v>
      </c>
    </row>
    <row r="63" spans="1:14" x14ac:dyDescent="0.3">
      <c r="A63">
        <v>62</v>
      </c>
      <c r="B63" t="s">
        <v>71</v>
      </c>
      <c r="C63">
        <v>7.5550330895704898E-2</v>
      </c>
      <c r="D63">
        <v>0.231426413290342</v>
      </c>
      <c r="E63">
        <v>7.5966375199021802E-2</v>
      </c>
      <c r="F63">
        <v>0.23101036898702501</v>
      </c>
      <c r="G63">
        <v>7.5685724446803201E-2</v>
      </c>
      <c r="H63">
        <v>0.23129101973924299</v>
      </c>
      <c r="I63">
        <v>0.30697674418604698</v>
      </c>
      <c r="J63">
        <v>430</v>
      </c>
      <c r="K63">
        <f t="shared" si="2"/>
        <v>32.486642285153103</v>
      </c>
      <c r="L63">
        <f t="shared" si="0"/>
        <v>99.513357714847061</v>
      </c>
      <c r="M63">
        <f t="shared" si="3"/>
        <v>132.0000000000002</v>
      </c>
      <c r="N63">
        <f t="shared" si="1"/>
        <v>32.486642285153138</v>
      </c>
    </row>
    <row r="64" spans="1:14" x14ac:dyDescent="0.3">
      <c r="A64">
        <v>63</v>
      </c>
      <c r="B64" t="s">
        <v>72</v>
      </c>
      <c r="C64">
        <v>4.8402060809649698E-2</v>
      </c>
      <c r="D64">
        <v>0.474325211917623</v>
      </c>
      <c r="E64">
        <v>4.8444584500101799E-2</v>
      </c>
      <c r="F64">
        <v>0.47428268822717101</v>
      </c>
      <c r="G64">
        <v>4.9128985430497797E-2</v>
      </c>
      <c r="H64">
        <v>0.473598287296775</v>
      </c>
      <c r="I64">
        <v>0.52272727272727304</v>
      </c>
      <c r="J64">
        <v>396</v>
      </c>
      <c r="K64">
        <f t="shared" si="2"/>
        <v>19.16721608062128</v>
      </c>
      <c r="L64">
        <f t="shared" si="0"/>
        <v>187.8327839193787</v>
      </c>
      <c r="M64">
        <f t="shared" si="3"/>
        <v>207.00000000000011</v>
      </c>
      <c r="N64">
        <f t="shared" si="1"/>
        <v>19.167216080621415</v>
      </c>
    </row>
    <row r="65" spans="1:14" x14ac:dyDescent="0.3">
      <c r="A65">
        <v>64</v>
      </c>
      <c r="B65" t="s">
        <v>73</v>
      </c>
      <c r="C65">
        <v>-1.85833549565394E-2</v>
      </c>
      <c r="D65">
        <v>0.38475435867401198</v>
      </c>
      <c r="E65">
        <v>-1.8014499864657099E-2</v>
      </c>
      <c r="F65">
        <v>0.384185503582129</v>
      </c>
      <c r="G65">
        <v>1.09091351308396E-2</v>
      </c>
      <c r="H65">
        <v>0.355261868586633</v>
      </c>
      <c r="I65">
        <v>0.36617100371747202</v>
      </c>
      <c r="J65">
        <v>538</v>
      </c>
      <c r="K65">
        <f t="shared" si="2"/>
        <v>-9.9978449666181977</v>
      </c>
      <c r="L65">
        <f t="shared" si="0"/>
        <v>206.99784496661843</v>
      </c>
      <c r="M65">
        <f t="shared" si="3"/>
        <v>196.99999999999994</v>
      </c>
      <c r="N65">
        <f t="shared" si="1"/>
        <v>-9.9978449666184872</v>
      </c>
    </row>
    <row r="66" spans="1:14" x14ac:dyDescent="0.3">
      <c r="A66">
        <v>65</v>
      </c>
      <c r="B66" t="s">
        <v>74</v>
      </c>
      <c r="C66">
        <v>0.21723465220131399</v>
      </c>
      <c r="D66">
        <v>0.65406258988244503</v>
      </c>
      <c r="E66">
        <v>0.21728016735548999</v>
      </c>
      <c r="F66">
        <v>0.65401707472826798</v>
      </c>
      <c r="G66">
        <v>0.23972239715271099</v>
      </c>
      <c r="H66">
        <v>0.63157484493104799</v>
      </c>
      <c r="I66">
        <v>0.87129724208375903</v>
      </c>
      <c r="J66">
        <v>979</v>
      </c>
      <c r="K66">
        <f t="shared" si="2"/>
        <v>212.67272450508639</v>
      </c>
      <c r="L66">
        <f t="shared" si="0"/>
        <v>640.32727549491369</v>
      </c>
      <c r="M66">
        <f t="shared" si="3"/>
        <v>853.00000000000011</v>
      </c>
      <c r="N66">
        <f t="shared" si="1"/>
        <v>212.67272450508642</v>
      </c>
    </row>
    <row r="67" spans="1:14" x14ac:dyDescent="0.3">
      <c r="A67">
        <v>66</v>
      </c>
      <c r="B67" t="s">
        <v>75</v>
      </c>
      <c r="C67">
        <v>9.2903229586518199E-2</v>
      </c>
      <c r="D67">
        <v>0.24266724021213901</v>
      </c>
      <c r="E67">
        <v>9.3819366080910099E-2</v>
      </c>
      <c r="F67">
        <v>0.24175110371774799</v>
      </c>
      <c r="G67">
        <v>9.9166769127633198E-2</v>
      </c>
      <c r="H67">
        <v>0.23640370067102501</v>
      </c>
      <c r="I67">
        <v>0.33557046979865801</v>
      </c>
      <c r="J67">
        <v>149</v>
      </c>
      <c r="K67">
        <f t="shared" si="2"/>
        <v>13.842581208391211</v>
      </c>
      <c r="L67">
        <f t="shared" ref="L67:L130" si="4">J67*D67</f>
        <v>36.157418791608713</v>
      </c>
      <c r="M67">
        <f t="shared" si="3"/>
        <v>50.000000000000043</v>
      </c>
      <c r="N67">
        <f t="shared" ref="N67:N130" si="5">M67-L67</f>
        <v>13.84258120839133</v>
      </c>
    </row>
    <row r="68" spans="1:14" x14ac:dyDescent="0.3">
      <c r="A68">
        <v>67</v>
      </c>
      <c r="B68" t="s">
        <v>76</v>
      </c>
      <c r="C68">
        <v>-6.4929499587759204E-2</v>
      </c>
      <c r="D68">
        <v>0.35761242641702701</v>
      </c>
      <c r="E68">
        <v>-6.4817610279253798E-2</v>
      </c>
      <c r="F68">
        <v>0.35750053710852198</v>
      </c>
      <c r="G68">
        <v>-6.2913396253795398E-2</v>
      </c>
      <c r="H68">
        <v>0.35559632308306399</v>
      </c>
      <c r="I68">
        <v>0.292682926829268</v>
      </c>
      <c r="J68">
        <v>82</v>
      </c>
      <c r="K68">
        <f t="shared" ref="K68:K131" si="6">J68*C68</f>
        <v>-5.3242189661962547</v>
      </c>
      <c r="L68">
        <f t="shared" si="4"/>
        <v>29.324218966196213</v>
      </c>
      <c r="M68">
        <f t="shared" ref="M68:M131" si="7">J68*I68</f>
        <v>23.999999999999975</v>
      </c>
      <c r="N68">
        <f t="shared" si="5"/>
        <v>-5.3242189661962378</v>
      </c>
    </row>
    <row r="69" spans="1:14" x14ac:dyDescent="0.3">
      <c r="A69">
        <v>68</v>
      </c>
      <c r="B69" t="s">
        <v>77</v>
      </c>
      <c r="C69">
        <v>0.24863915503370901</v>
      </c>
      <c r="D69">
        <v>0.36818327487283298</v>
      </c>
      <c r="E69">
        <v>0.25134602321563998</v>
      </c>
      <c r="F69">
        <v>0.36547640669090198</v>
      </c>
      <c r="G69">
        <v>0.26147405048373401</v>
      </c>
      <c r="H69">
        <v>0.355348379422808</v>
      </c>
      <c r="I69">
        <v>0.61682242990654201</v>
      </c>
      <c r="J69">
        <v>107</v>
      </c>
      <c r="K69">
        <f t="shared" si="6"/>
        <v>26.604389588606864</v>
      </c>
      <c r="L69">
        <f t="shared" si="4"/>
        <v>39.395610411393129</v>
      </c>
      <c r="M69">
        <f t="shared" si="7"/>
        <v>66</v>
      </c>
      <c r="N69">
        <f t="shared" si="5"/>
        <v>26.604389588606871</v>
      </c>
    </row>
    <row r="70" spans="1:14" x14ac:dyDescent="0.3">
      <c r="A70">
        <v>69</v>
      </c>
      <c r="B70" t="s">
        <v>78</v>
      </c>
      <c r="C70">
        <v>0.29265850784786601</v>
      </c>
      <c r="D70">
        <v>0.413223845093311</v>
      </c>
      <c r="E70">
        <v>0.29430866709803299</v>
      </c>
      <c r="F70">
        <v>0.41157368584314302</v>
      </c>
      <c r="G70">
        <v>0.29487269364706198</v>
      </c>
      <c r="H70">
        <v>0.41100965929411498</v>
      </c>
      <c r="I70">
        <v>0.70588235294117696</v>
      </c>
      <c r="J70">
        <v>17</v>
      </c>
      <c r="K70">
        <f t="shared" si="6"/>
        <v>4.9751946334137225</v>
      </c>
      <c r="L70">
        <f t="shared" si="4"/>
        <v>7.0248053665862873</v>
      </c>
      <c r="M70">
        <f t="shared" si="7"/>
        <v>12.000000000000009</v>
      </c>
      <c r="N70">
        <f t="shared" si="5"/>
        <v>4.9751946334137216</v>
      </c>
    </row>
    <row r="71" spans="1:14" x14ac:dyDescent="0.3">
      <c r="A71">
        <v>70</v>
      </c>
      <c r="B71" t="s">
        <v>79</v>
      </c>
      <c r="C71">
        <v>6.99322126925183E-2</v>
      </c>
      <c r="D71">
        <v>0.35300685540783999</v>
      </c>
      <c r="E71">
        <v>7.0094550681415499E-2</v>
      </c>
      <c r="F71">
        <v>0.35284451741894302</v>
      </c>
      <c r="G71">
        <v>6.8302537211482106E-2</v>
      </c>
      <c r="H71">
        <v>0.35463653088887598</v>
      </c>
      <c r="I71">
        <v>0.42293906810035797</v>
      </c>
      <c r="J71">
        <v>279</v>
      </c>
      <c r="K71">
        <f t="shared" si="6"/>
        <v>19.511087341212605</v>
      </c>
      <c r="L71">
        <f t="shared" si="4"/>
        <v>98.488912658787356</v>
      </c>
      <c r="M71">
        <f t="shared" si="7"/>
        <v>117.99999999999987</v>
      </c>
      <c r="N71">
        <f t="shared" si="5"/>
        <v>19.511087341212516</v>
      </c>
    </row>
    <row r="72" spans="1:14" x14ac:dyDescent="0.3">
      <c r="A72">
        <v>71</v>
      </c>
      <c r="B72" t="s">
        <v>80</v>
      </c>
      <c r="C72">
        <v>0.17920349271359701</v>
      </c>
      <c r="D72">
        <v>0.29515548164537803</v>
      </c>
      <c r="E72">
        <v>0.17980904743377299</v>
      </c>
      <c r="F72">
        <v>0.29454992692520199</v>
      </c>
      <c r="G72">
        <v>0.18069834253631401</v>
      </c>
      <c r="H72">
        <v>0.29366063182266</v>
      </c>
      <c r="I72">
        <v>0.47435897435897401</v>
      </c>
      <c r="J72">
        <v>78</v>
      </c>
      <c r="K72">
        <f t="shared" si="6"/>
        <v>13.977872431660566</v>
      </c>
      <c r="L72">
        <f t="shared" si="4"/>
        <v>23.022127568339485</v>
      </c>
      <c r="M72">
        <f t="shared" si="7"/>
        <v>36.999999999999972</v>
      </c>
      <c r="N72">
        <f t="shared" si="5"/>
        <v>13.977872431660487</v>
      </c>
    </row>
    <row r="73" spans="1:14" x14ac:dyDescent="0.3">
      <c r="A73">
        <v>72</v>
      </c>
      <c r="B73" t="s">
        <v>81</v>
      </c>
      <c r="C73">
        <v>8.9530765544985805E-2</v>
      </c>
      <c r="D73">
        <v>0.38415344498132997</v>
      </c>
      <c r="E73">
        <v>9.0771229067450498E-2</v>
      </c>
      <c r="F73">
        <v>0.38291298145886499</v>
      </c>
      <c r="G73">
        <v>8.9943259482263102E-2</v>
      </c>
      <c r="H73">
        <v>0.38374095104405298</v>
      </c>
      <c r="I73">
        <v>0.47368421052631599</v>
      </c>
      <c r="J73">
        <v>38</v>
      </c>
      <c r="K73">
        <f t="shared" si="6"/>
        <v>3.4021690907094606</v>
      </c>
      <c r="L73">
        <f t="shared" si="4"/>
        <v>14.59783090929054</v>
      </c>
      <c r="M73">
        <f t="shared" si="7"/>
        <v>18.000000000000007</v>
      </c>
      <c r="N73">
        <f t="shared" si="5"/>
        <v>3.4021690907094673</v>
      </c>
    </row>
    <row r="74" spans="1:14" x14ac:dyDescent="0.3">
      <c r="A74">
        <v>73</v>
      </c>
      <c r="B74" t="s">
        <v>82</v>
      </c>
      <c r="C74">
        <v>3.59176321522863E-2</v>
      </c>
      <c r="D74">
        <v>0.23994443681323099</v>
      </c>
      <c r="E74">
        <v>3.5961986923202599E-2</v>
      </c>
      <c r="F74">
        <v>0.239900082042315</v>
      </c>
      <c r="G74">
        <v>3.6488876408251401E-2</v>
      </c>
      <c r="H74">
        <v>0.239373192557266</v>
      </c>
      <c r="I74">
        <v>0.27586206896551702</v>
      </c>
      <c r="J74">
        <v>29</v>
      </c>
      <c r="K74">
        <f t="shared" si="6"/>
        <v>1.0416113324163028</v>
      </c>
      <c r="L74">
        <f t="shared" si="4"/>
        <v>6.9583886675836988</v>
      </c>
      <c r="M74">
        <f t="shared" si="7"/>
        <v>7.9999999999999938</v>
      </c>
      <c r="N74">
        <f t="shared" si="5"/>
        <v>1.041611332416295</v>
      </c>
    </row>
    <row r="75" spans="1:14" x14ac:dyDescent="0.3">
      <c r="A75">
        <v>74</v>
      </c>
      <c r="B75" t="s">
        <v>83</v>
      </c>
      <c r="C75">
        <v>0.14307104587681899</v>
      </c>
      <c r="D75">
        <v>0.32885013638919097</v>
      </c>
      <c r="E75">
        <v>0.143798360240769</v>
      </c>
      <c r="F75">
        <v>0.32812282202524101</v>
      </c>
      <c r="G75">
        <v>0.14829882410564299</v>
      </c>
      <c r="H75">
        <v>0.323622358160367</v>
      </c>
      <c r="I75">
        <v>0.47192118226600999</v>
      </c>
      <c r="J75">
        <v>1015</v>
      </c>
      <c r="K75">
        <f t="shared" si="6"/>
        <v>145.21711156497128</v>
      </c>
      <c r="L75">
        <f t="shared" si="4"/>
        <v>333.78288843502884</v>
      </c>
      <c r="M75">
        <f t="shared" si="7"/>
        <v>479.00000000000011</v>
      </c>
      <c r="N75">
        <f t="shared" si="5"/>
        <v>145.21711156497128</v>
      </c>
    </row>
    <row r="76" spans="1:14" x14ac:dyDescent="0.3">
      <c r="A76">
        <v>75</v>
      </c>
      <c r="B76" t="s">
        <v>84</v>
      </c>
      <c r="C76">
        <v>0.30482197607973499</v>
      </c>
      <c r="D76">
        <v>0.39517802392026502</v>
      </c>
      <c r="E76">
        <v>0.30497459444939901</v>
      </c>
      <c r="F76">
        <v>0.39502540555060101</v>
      </c>
      <c r="G76">
        <v>0.30578925480019298</v>
      </c>
      <c r="H76">
        <v>0.39421074519980698</v>
      </c>
      <c r="I76">
        <v>0.7</v>
      </c>
      <c r="J76">
        <v>20</v>
      </c>
      <c r="K76">
        <f t="shared" si="6"/>
        <v>6.0964395215947</v>
      </c>
      <c r="L76">
        <f t="shared" si="4"/>
        <v>7.9035604784053</v>
      </c>
      <c r="M76">
        <f t="shared" si="7"/>
        <v>14</v>
      </c>
      <c r="N76">
        <f t="shared" si="5"/>
        <v>6.0964395215947</v>
      </c>
    </row>
    <row r="77" spans="1:14" x14ac:dyDescent="0.3">
      <c r="A77">
        <v>76</v>
      </c>
      <c r="B77" t="s">
        <v>85</v>
      </c>
      <c r="C77">
        <v>0.14743319539305499</v>
      </c>
      <c r="D77">
        <v>0.56157874814657605</v>
      </c>
      <c r="E77">
        <v>0.14793815232447599</v>
      </c>
      <c r="F77">
        <v>0.56107379121515499</v>
      </c>
      <c r="G77">
        <v>0.16119638422544699</v>
      </c>
      <c r="H77">
        <v>0.54781555931418402</v>
      </c>
      <c r="I77">
        <v>0.70901194353963104</v>
      </c>
      <c r="J77">
        <v>921</v>
      </c>
      <c r="K77">
        <f t="shared" si="6"/>
        <v>135.78597295700365</v>
      </c>
      <c r="L77">
        <f t="shared" si="4"/>
        <v>517.21402704299658</v>
      </c>
      <c r="M77">
        <f t="shared" si="7"/>
        <v>653.00000000000023</v>
      </c>
      <c r="N77">
        <f t="shared" si="5"/>
        <v>135.78597295700365</v>
      </c>
    </row>
    <row r="78" spans="1:14" x14ac:dyDescent="0.3">
      <c r="A78">
        <v>77</v>
      </c>
      <c r="B78" t="s">
        <v>86</v>
      </c>
      <c r="C78">
        <v>-7.1776166324078503E-2</v>
      </c>
      <c r="D78">
        <v>0.38638290789711199</v>
      </c>
      <c r="E78">
        <v>-6.9575002088979807E-2</v>
      </c>
      <c r="F78">
        <v>0.38418174366201402</v>
      </c>
      <c r="G78">
        <v>-5.3646223653787697E-2</v>
      </c>
      <c r="H78">
        <v>0.36825296522682099</v>
      </c>
      <c r="I78">
        <v>0.31460674157303398</v>
      </c>
      <c r="J78">
        <v>89</v>
      </c>
      <c r="K78">
        <f t="shared" si="6"/>
        <v>-6.3880788028429869</v>
      </c>
      <c r="L78">
        <f t="shared" si="4"/>
        <v>34.388078802842969</v>
      </c>
      <c r="M78">
        <f t="shared" si="7"/>
        <v>28.000000000000025</v>
      </c>
      <c r="N78">
        <f t="shared" si="5"/>
        <v>-6.3880788028429443</v>
      </c>
    </row>
    <row r="79" spans="1:14" x14ac:dyDescent="0.3">
      <c r="A79">
        <v>78</v>
      </c>
      <c r="B79" t="s">
        <v>87</v>
      </c>
      <c r="C79">
        <v>-6.1199220736519899E-2</v>
      </c>
      <c r="D79">
        <v>0.50564366518096404</v>
      </c>
      <c r="E79">
        <v>-5.8315729657318897E-2</v>
      </c>
      <c r="F79">
        <v>0.50276017410176299</v>
      </c>
      <c r="G79">
        <v>-4.67443555958066E-2</v>
      </c>
      <c r="H79">
        <v>0.49118880004025101</v>
      </c>
      <c r="I79">
        <v>0.44444444444444398</v>
      </c>
      <c r="J79">
        <v>54</v>
      </c>
      <c r="K79">
        <f t="shared" si="6"/>
        <v>-3.3047579197720744</v>
      </c>
      <c r="L79">
        <f t="shared" si="4"/>
        <v>27.304757919772058</v>
      </c>
      <c r="M79">
        <f t="shared" si="7"/>
        <v>23.999999999999975</v>
      </c>
      <c r="N79">
        <f t="shared" si="5"/>
        <v>-3.3047579197720829</v>
      </c>
    </row>
    <row r="80" spans="1:14" x14ac:dyDescent="0.3">
      <c r="A80">
        <v>79</v>
      </c>
      <c r="B80" t="s">
        <v>88</v>
      </c>
      <c r="C80">
        <v>-1.5187815252424901E-2</v>
      </c>
      <c r="D80">
        <v>0.29852114858575801</v>
      </c>
      <c r="E80">
        <v>-1.51874019657911E-2</v>
      </c>
      <c r="F80">
        <v>0.29852073529912398</v>
      </c>
      <c r="G80">
        <v>-1.53856179138237E-2</v>
      </c>
      <c r="H80">
        <v>0.29871895124715703</v>
      </c>
      <c r="I80">
        <v>0.28333333333333299</v>
      </c>
      <c r="J80">
        <v>60</v>
      </c>
      <c r="K80">
        <f t="shared" si="6"/>
        <v>-0.91126891514549402</v>
      </c>
      <c r="L80">
        <f t="shared" si="4"/>
        <v>17.911268915145481</v>
      </c>
      <c r="M80">
        <f t="shared" si="7"/>
        <v>16.999999999999979</v>
      </c>
      <c r="N80">
        <f t="shared" si="5"/>
        <v>-0.91126891514550223</v>
      </c>
    </row>
    <row r="81" spans="1:14" x14ac:dyDescent="0.3">
      <c r="A81">
        <v>80</v>
      </c>
      <c r="B81" t="s">
        <v>89</v>
      </c>
      <c r="C81">
        <v>0.139159932669739</v>
      </c>
      <c r="D81">
        <v>0.41156470501142001</v>
      </c>
      <c r="E81">
        <v>0.13926895972995601</v>
      </c>
      <c r="F81">
        <v>0.41145567795120402</v>
      </c>
      <c r="G81">
        <v>0.14035606669091599</v>
      </c>
      <c r="H81">
        <v>0.41036857099024399</v>
      </c>
      <c r="I81">
        <v>0.55072463768115898</v>
      </c>
      <c r="J81">
        <v>138</v>
      </c>
      <c r="K81">
        <f t="shared" si="6"/>
        <v>19.204070708423981</v>
      </c>
      <c r="L81">
        <f t="shared" si="4"/>
        <v>56.795929291575959</v>
      </c>
      <c r="M81">
        <f t="shared" si="7"/>
        <v>75.999999999999943</v>
      </c>
      <c r="N81">
        <f t="shared" si="5"/>
        <v>19.204070708423984</v>
      </c>
    </row>
    <row r="82" spans="1:14" x14ac:dyDescent="0.3">
      <c r="A82">
        <v>81</v>
      </c>
      <c r="B82" t="s">
        <v>90</v>
      </c>
      <c r="C82">
        <v>-3.6662976709311103E-2</v>
      </c>
      <c r="D82">
        <v>0.27932442485021097</v>
      </c>
      <c r="E82">
        <v>-3.6551010920576499E-2</v>
      </c>
      <c r="F82">
        <v>0.27921245906147701</v>
      </c>
      <c r="G82">
        <v>-3.64851923224137E-2</v>
      </c>
      <c r="H82">
        <v>0.279146640463314</v>
      </c>
      <c r="I82">
        <v>0.24266144814089999</v>
      </c>
      <c r="J82">
        <v>511</v>
      </c>
      <c r="K82">
        <f t="shared" si="6"/>
        <v>-18.734781098457972</v>
      </c>
      <c r="L82">
        <f t="shared" si="4"/>
        <v>142.7347810984578</v>
      </c>
      <c r="M82">
        <f t="shared" si="7"/>
        <v>123.9999999999999</v>
      </c>
      <c r="N82">
        <f t="shared" si="5"/>
        <v>-18.734781098457901</v>
      </c>
    </row>
    <row r="83" spans="1:14" x14ac:dyDescent="0.3">
      <c r="A83">
        <v>82</v>
      </c>
      <c r="B83" t="s">
        <v>91</v>
      </c>
      <c r="C83">
        <v>0.12490279429496801</v>
      </c>
      <c r="D83">
        <v>0.52025849602761198</v>
      </c>
      <c r="E83">
        <v>0.12772715969739801</v>
      </c>
      <c r="F83">
        <v>0.51743413062518195</v>
      </c>
      <c r="G83">
        <v>0.14563151967610399</v>
      </c>
      <c r="H83">
        <v>0.49952977064647702</v>
      </c>
      <c r="I83">
        <v>0.64516129032258096</v>
      </c>
      <c r="J83">
        <v>279</v>
      </c>
      <c r="K83">
        <f t="shared" si="6"/>
        <v>34.847879608296076</v>
      </c>
      <c r="L83">
        <f t="shared" si="4"/>
        <v>145.15212039170373</v>
      </c>
      <c r="M83">
        <f t="shared" si="7"/>
        <v>180.00000000000009</v>
      </c>
      <c r="N83">
        <f t="shared" si="5"/>
        <v>34.847879608296353</v>
      </c>
    </row>
    <row r="84" spans="1:14" x14ac:dyDescent="0.3">
      <c r="A84">
        <v>83</v>
      </c>
      <c r="B84" t="s">
        <v>92</v>
      </c>
      <c r="C84">
        <v>-2.5775004934595398E-2</v>
      </c>
      <c r="D84">
        <v>0.20224559316988999</v>
      </c>
      <c r="E84">
        <v>-2.56775713713411E-2</v>
      </c>
      <c r="F84">
        <v>0.20214815960663499</v>
      </c>
      <c r="G84">
        <v>-2.7822939386737099E-2</v>
      </c>
      <c r="H84">
        <v>0.20429352762203101</v>
      </c>
      <c r="I84">
        <v>0.17647058823529399</v>
      </c>
      <c r="J84">
        <v>34</v>
      </c>
      <c r="K84">
        <f t="shared" si="6"/>
        <v>-0.87635016777624353</v>
      </c>
      <c r="L84">
        <f t="shared" si="4"/>
        <v>6.87635016777626</v>
      </c>
      <c r="M84">
        <f t="shared" si="7"/>
        <v>5.9999999999999956</v>
      </c>
      <c r="N84">
        <f t="shared" si="5"/>
        <v>-0.8763501677762644</v>
      </c>
    </row>
    <row r="85" spans="1:14" x14ac:dyDescent="0.3">
      <c r="A85">
        <v>84</v>
      </c>
      <c r="B85" t="s">
        <v>93</v>
      </c>
      <c r="C85">
        <v>0.32432174953784099</v>
      </c>
      <c r="D85">
        <v>0.475678250462159</v>
      </c>
      <c r="E85">
        <v>0.32765653199986799</v>
      </c>
      <c r="F85">
        <v>0.47234346800013199</v>
      </c>
      <c r="G85">
        <v>0.44619166432880097</v>
      </c>
      <c r="H85">
        <v>0.35380833567119901</v>
      </c>
      <c r="I85">
        <v>0.8</v>
      </c>
      <c r="J85">
        <v>5</v>
      </c>
      <c r="K85">
        <f t="shared" si="6"/>
        <v>1.6216087476892049</v>
      </c>
      <c r="L85">
        <f t="shared" si="4"/>
        <v>2.3783912523107951</v>
      </c>
      <c r="M85">
        <f t="shared" si="7"/>
        <v>4</v>
      </c>
      <c r="N85">
        <f t="shared" si="5"/>
        <v>1.6216087476892049</v>
      </c>
    </row>
    <row r="86" spans="1:14" x14ac:dyDescent="0.3">
      <c r="A86">
        <v>85</v>
      </c>
      <c r="B86" t="s">
        <v>94</v>
      </c>
      <c r="C86">
        <v>5.8448145963126003E-2</v>
      </c>
      <c r="D86">
        <v>0.277899051143565</v>
      </c>
      <c r="E86">
        <v>5.8838392409454897E-2</v>
      </c>
      <c r="F86">
        <v>0.27750880469723599</v>
      </c>
      <c r="G86">
        <v>6.1365849110152998E-2</v>
      </c>
      <c r="H86">
        <v>0.27498134799653801</v>
      </c>
      <c r="I86">
        <v>0.33634719710669098</v>
      </c>
      <c r="J86">
        <v>553</v>
      </c>
      <c r="K86">
        <f t="shared" si="6"/>
        <v>32.321824717608678</v>
      </c>
      <c r="L86">
        <f t="shared" si="4"/>
        <v>153.67817528239144</v>
      </c>
      <c r="M86">
        <f t="shared" si="7"/>
        <v>186.00000000000011</v>
      </c>
      <c r="N86">
        <f t="shared" si="5"/>
        <v>32.321824717608678</v>
      </c>
    </row>
    <row r="87" spans="1:14" x14ac:dyDescent="0.3">
      <c r="A87">
        <v>86</v>
      </c>
      <c r="B87" t="s">
        <v>95</v>
      </c>
      <c r="C87">
        <v>0.116317367377029</v>
      </c>
      <c r="D87">
        <v>0.32599032493066399</v>
      </c>
      <c r="E87">
        <v>0.116838227686865</v>
      </c>
      <c r="F87">
        <v>0.32546946462082799</v>
      </c>
      <c r="G87">
        <v>0.118143485520962</v>
      </c>
      <c r="H87">
        <v>0.32416420678673102</v>
      </c>
      <c r="I87">
        <v>0.44230769230769201</v>
      </c>
      <c r="J87">
        <v>260</v>
      </c>
      <c r="K87">
        <f t="shared" si="6"/>
        <v>30.242515518027538</v>
      </c>
      <c r="L87">
        <f t="shared" si="4"/>
        <v>84.757484481972639</v>
      </c>
      <c r="M87">
        <f t="shared" si="7"/>
        <v>114.99999999999993</v>
      </c>
      <c r="N87">
        <f t="shared" si="5"/>
        <v>30.24251551802729</v>
      </c>
    </row>
    <row r="88" spans="1:14" x14ac:dyDescent="0.3">
      <c r="A88">
        <v>87</v>
      </c>
      <c r="B88" t="s">
        <v>96</v>
      </c>
      <c r="C88">
        <v>0.13523861396659101</v>
      </c>
      <c r="D88">
        <v>0.47260452328831098</v>
      </c>
      <c r="E88">
        <v>0.13692462922745499</v>
      </c>
      <c r="F88">
        <v>0.470918508027447</v>
      </c>
      <c r="G88">
        <v>0.138400674556655</v>
      </c>
      <c r="H88">
        <v>0.46944246269824702</v>
      </c>
      <c r="I88">
        <v>0.60784313725490202</v>
      </c>
      <c r="J88">
        <v>102</v>
      </c>
      <c r="K88">
        <f t="shared" si="6"/>
        <v>13.794338624592283</v>
      </c>
      <c r="L88">
        <f t="shared" si="4"/>
        <v>48.205661375407722</v>
      </c>
      <c r="M88">
        <f t="shared" si="7"/>
        <v>62.000000000000007</v>
      </c>
      <c r="N88">
        <f t="shared" si="5"/>
        <v>13.794338624592285</v>
      </c>
    </row>
    <row r="89" spans="1:14" x14ac:dyDescent="0.3">
      <c r="A89">
        <v>88</v>
      </c>
      <c r="B89" t="s">
        <v>97</v>
      </c>
      <c r="C89">
        <v>5.5103988768951E-2</v>
      </c>
      <c r="D89">
        <v>0.230610296945335</v>
      </c>
      <c r="E89">
        <v>5.56551506103974E-2</v>
      </c>
      <c r="F89">
        <v>0.23005913510388801</v>
      </c>
      <c r="G89">
        <v>5.3242284631019703E-2</v>
      </c>
      <c r="H89">
        <v>0.23247200108326599</v>
      </c>
      <c r="I89">
        <v>0.28571428571428598</v>
      </c>
      <c r="J89">
        <v>70</v>
      </c>
      <c r="K89">
        <f t="shared" si="6"/>
        <v>3.8572792138265699</v>
      </c>
      <c r="L89">
        <f t="shared" si="4"/>
        <v>16.142720786173449</v>
      </c>
      <c r="M89">
        <f t="shared" si="7"/>
        <v>20.000000000000018</v>
      </c>
      <c r="N89">
        <f t="shared" si="5"/>
        <v>3.857279213826569</v>
      </c>
    </row>
    <row r="90" spans="1:14" x14ac:dyDescent="0.3">
      <c r="A90">
        <v>89</v>
      </c>
      <c r="B90" t="s">
        <v>98</v>
      </c>
      <c r="C90">
        <v>0.171664056074535</v>
      </c>
      <c r="D90">
        <v>0.23742685301637401</v>
      </c>
      <c r="E90">
        <v>0.17297834259535499</v>
      </c>
      <c r="F90">
        <v>0.23611256649555401</v>
      </c>
      <c r="G90">
        <v>0.17446492600796301</v>
      </c>
      <c r="H90">
        <v>0.23462598308294599</v>
      </c>
      <c r="I90">
        <v>0.40909090909090901</v>
      </c>
      <c r="J90">
        <v>22</v>
      </c>
      <c r="K90">
        <f t="shared" si="6"/>
        <v>3.7766092336397699</v>
      </c>
      <c r="L90">
        <f t="shared" si="4"/>
        <v>5.2233907663602279</v>
      </c>
      <c r="M90">
        <f t="shared" si="7"/>
        <v>8.9999999999999982</v>
      </c>
      <c r="N90">
        <f t="shared" si="5"/>
        <v>3.7766092336397703</v>
      </c>
    </row>
    <row r="91" spans="1:14" x14ac:dyDescent="0.3">
      <c r="A91">
        <v>90</v>
      </c>
      <c r="B91" t="s">
        <v>99</v>
      </c>
      <c r="C91">
        <v>6.8292036038972506E-2</v>
      </c>
      <c r="D91">
        <v>0.32807160032466398</v>
      </c>
      <c r="E91">
        <v>6.8504228889675597E-2</v>
      </c>
      <c r="F91">
        <v>0.32785940747396097</v>
      </c>
      <c r="G91">
        <v>6.7548453867489006E-2</v>
      </c>
      <c r="H91">
        <v>0.328815182496147</v>
      </c>
      <c r="I91">
        <v>0.39636363636363597</v>
      </c>
      <c r="J91">
        <v>275</v>
      </c>
      <c r="K91">
        <f t="shared" si="6"/>
        <v>18.780309910717438</v>
      </c>
      <c r="L91">
        <f t="shared" si="4"/>
        <v>90.219690089282594</v>
      </c>
      <c r="M91">
        <f t="shared" si="7"/>
        <v>108.99999999999989</v>
      </c>
      <c r="N91">
        <f t="shared" si="5"/>
        <v>18.780309910717293</v>
      </c>
    </row>
    <row r="92" spans="1:14" x14ac:dyDescent="0.3">
      <c r="A92">
        <v>91</v>
      </c>
      <c r="B92" t="s">
        <v>100</v>
      </c>
      <c r="C92">
        <v>0.189797192453762</v>
      </c>
      <c r="D92">
        <v>0.44850067988666298</v>
      </c>
      <c r="E92">
        <v>0.194473909683473</v>
      </c>
      <c r="F92">
        <v>0.44382396265695301</v>
      </c>
      <c r="G92">
        <v>0.210354111072762</v>
      </c>
      <c r="H92">
        <v>0.42794376126766298</v>
      </c>
      <c r="I92">
        <v>0.63829787234042601</v>
      </c>
      <c r="J92">
        <v>47</v>
      </c>
      <c r="K92">
        <f t="shared" si="6"/>
        <v>8.9204680453268139</v>
      </c>
      <c r="L92">
        <f t="shared" si="4"/>
        <v>21.079531954673161</v>
      </c>
      <c r="M92">
        <f t="shared" si="7"/>
        <v>30.000000000000021</v>
      </c>
      <c r="N92">
        <f t="shared" si="5"/>
        <v>8.9204680453268601</v>
      </c>
    </row>
    <row r="93" spans="1:14" x14ac:dyDescent="0.3">
      <c r="A93">
        <v>92</v>
      </c>
      <c r="B93" t="s">
        <v>101</v>
      </c>
      <c r="C93">
        <v>9.8345638179949693E-2</v>
      </c>
      <c r="D93">
        <v>0.294511504677193</v>
      </c>
      <c r="E93">
        <v>0.100143094820892</v>
      </c>
      <c r="F93">
        <v>0.29271404803625101</v>
      </c>
      <c r="G93">
        <v>0.108113054011132</v>
      </c>
      <c r="H93">
        <v>0.28474408884601099</v>
      </c>
      <c r="I93">
        <v>0.39285714285714302</v>
      </c>
      <c r="J93">
        <v>28</v>
      </c>
      <c r="K93">
        <f t="shared" si="6"/>
        <v>2.7536778690385915</v>
      </c>
      <c r="L93">
        <f t="shared" si="4"/>
        <v>8.2463221309614045</v>
      </c>
      <c r="M93">
        <f t="shared" si="7"/>
        <v>11.000000000000004</v>
      </c>
      <c r="N93">
        <f t="shared" si="5"/>
        <v>2.753677869038599</v>
      </c>
    </row>
    <row r="94" spans="1:14" x14ac:dyDescent="0.3">
      <c r="A94">
        <v>93</v>
      </c>
      <c r="B94" t="s">
        <v>102</v>
      </c>
      <c r="C94">
        <v>0.189956641190799</v>
      </c>
      <c r="D94">
        <v>0.43890933819064398</v>
      </c>
      <c r="E94">
        <v>0.192344247026739</v>
      </c>
      <c r="F94">
        <v>0.43652173235470398</v>
      </c>
      <c r="G94">
        <v>0.20157238483753101</v>
      </c>
      <c r="H94">
        <v>0.42729359454391203</v>
      </c>
      <c r="I94">
        <v>0.62886597938144295</v>
      </c>
      <c r="J94">
        <v>388</v>
      </c>
      <c r="K94">
        <f t="shared" si="6"/>
        <v>73.703176782030013</v>
      </c>
      <c r="L94">
        <f t="shared" si="4"/>
        <v>170.29682321796986</v>
      </c>
      <c r="M94">
        <f t="shared" si="7"/>
        <v>243.99999999999986</v>
      </c>
      <c r="N94">
        <f t="shared" si="5"/>
        <v>73.703176782029999</v>
      </c>
    </row>
    <row r="95" spans="1:14" x14ac:dyDescent="0.3">
      <c r="A95">
        <v>94</v>
      </c>
      <c r="B95" t="s">
        <v>103</v>
      </c>
      <c r="C95">
        <v>-7.3583349916818794E-2</v>
      </c>
      <c r="D95">
        <v>0.96369324002670897</v>
      </c>
      <c r="E95">
        <v>-7.3010773733840406E-2</v>
      </c>
      <c r="F95">
        <v>0.96312066384372996</v>
      </c>
      <c r="G95">
        <v>4.0759851364800198E-3</v>
      </c>
      <c r="H95">
        <v>0.88603390497340995</v>
      </c>
      <c r="I95">
        <v>0.89010989010988995</v>
      </c>
      <c r="J95">
        <v>91</v>
      </c>
      <c r="K95">
        <f t="shared" si="6"/>
        <v>-6.6960848424305102</v>
      </c>
      <c r="L95">
        <f t="shared" si="4"/>
        <v>87.696084842430523</v>
      </c>
      <c r="M95">
        <f t="shared" si="7"/>
        <v>80.999999999999986</v>
      </c>
      <c r="N95">
        <f t="shared" si="5"/>
        <v>-6.6960848424305368</v>
      </c>
    </row>
    <row r="96" spans="1:14" x14ac:dyDescent="0.3">
      <c r="A96">
        <v>95</v>
      </c>
      <c r="B96" t="s">
        <v>104</v>
      </c>
      <c r="C96">
        <v>-2.5094833768046498E-3</v>
      </c>
      <c r="D96">
        <v>0.96917615004347102</v>
      </c>
      <c r="E96">
        <v>-1.9876204697061701E-3</v>
      </c>
      <c r="F96">
        <v>0.96865428713637303</v>
      </c>
      <c r="G96">
        <v>1.7904305056305601E-2</v>
      </c>
      <c r="H96">
        <v>0.94876236161036098</v>
      </c>
      <c r="I96">
        <v>0.96666666666666701</v>
      </c>
      <c r="J96">
        <v>30</v>
      </c>
      <c r="K96">
        <f t="shared" si="6"/>
        <v>-7.5284501304139495E-2</v>
      </c>
      <c r="L96">
        <f t="shared" si="4"/>
        <v>29.075284501304132</v>
      </c>
      <c r="M96">
        <f t="shared" si="7"/>
        <v>29.000000000000011</v>
      </c>
      <c r="N96">
        <f t="shared" si="5"/>
        <v>-7.5284501304121676E-2</v>
      </c>
    </row>
    <row r="97" spans="1:14" x14ac:dyDescent="0.3">
      <c r="A97">
        <v>96</v>
      </c>
      <c r="B97" t="s">
        <v>105</v>
      </c>
      <c r="C97">
        <v>-3.3764836059666903E-2</v>
      </c>
      <c r="D97">
        <v>0.26599232421132601</v>
      </c>
      <c r="E97">
        <v>-3.3760299119954901E-2</v>
      </c>
      <c r="F97">
        <v>0.26598778727161398</v>
      </c>
      <c r="G97">
        <v>-4.0831641495579003E-2</v>
      </c>
      <c r="H97">
        <v>0.273059129647238</v>
      </c>
      <c r="I97">
        <v>0.232227488151659</v>
      </c>
      <c r="J97">
        <v>211</v>
      </c>
      <c r="K97">
        <f t="shared" si="6"/>
        <v>-7.1243804085897162</v>
      </c>
      <c r="L97">
        <f t="shared" si="4"/>
        <v>56.124380408589786</v>
      </c>
      <c r="M97">
        <f t="shared" si="7"/>
        <v>49.00000000000005</v>
      </c>
      <c r="N97">
        <f t="shared" si="5"/>
        <v>-7.1243804085897366</v>
      </c>
    </row>
    <row r="98" spans="1:14" x14ac:dyDescent="0.3">
      <c r="A98">
        <v>97</v>
      </c>
      <c r="B98" t="s">
        <v>106</v>
      </c>
      <c r="C98">
        <v>5.2369845916732001E-2</v>
      </c>
      <c r="D98">
        <v>0.35539714437453002</v>
      </c>
      <c r="E98">
        <v>5.2439758429281502E-2</v>
      </c>
      <c r="F98">
        <v>0.35532723186198101</v>
      </c>
      <c r="G98">
        <v>8.7960532758785306E-2</v>
      </c>
      <c r="H98">
        <v>0.319806457532477</v>
      </c>
      <c r="I98">
        <v>0.40776699029126201</v>
      </c>
      <c r="J98">
        <v>206</v>
      </c>
      <c r="K98">
        <f t="shared" si="6"/>
        <v>10.788188258846793</v>
      </c>
      <c r="L98">
        <f t="shared" si="4"/>
        <v>73.211811741153184</v>
      </c>
      <c r="M98">
        <f t="shared" si="7"/>
        <v>83.999999999999972</v>
      </c>
      <c r="N98">
        <f t="shared" si="5"/>
        <v>10.788188258846787</v>
      </c>
    </row>
    <row r="99" spans="1:14" x14ac:dyDescent="0.3">
      <c r="A99">
        <v>98</v>
      </c>
      <c r="B99" t="s">
        <v>107</v>
      </c>
      <c r="C99">
        <v>-0.11311573713807201</v>
      </c>
      <c r="D99">
        <v>0.27978240380473901</v>
      </c>
      <c r="E99">
        <v>-0.11313945509208</v>
      </c>
      <c r="F99">
        <v>0.27980612175874697</v>
      </c>
      <c r="G99">
        <v>-0.122764714183312</v>
      </c>
      <c r="H99">
        <v>0.28943138084997899</v>
      </c>
      <c r="I99">
        <v>0.16666666666666699</v>
      </c>
      <c r="J99">
        <v>72</v>
      </c>
      <c r="K99">
        <f t="shared" si="6"/>
        <v>-8.1443330739411852</v>
      </c>
      <c r="L99">
        <f t="shared" si="4"/>
        <v>20.144333073941208</v>
      </c>
      <c r="M99">
        <f t="shared" si="7"/>
        <v>12.000000000000023</v>
      </c>
      <c r="N99">
        <f t="shared" si="5"/>
        <v>-8.1443330739411852</v>
      </c>
    </row>
    <row r="100" spans="1:14" x14ac:dyDescent="0.3">
      <c r="A100">
        <v>99</v>
      </c>
      <c r="B100" t="s">
        <v>108</v>
      </c>
      <c r="C100">
        <v>-0.12909834068467299</v>
      </c>
      <c r="D100">
        <v>0.21676067834701099</v>
      </c>
      <c r="E100">
        <v>-0.12898376197720199</v>
      </c>
      <c r="F100">
        <v>0.21664609963953901</v>
      </c>
      <c r="G100">
        <v>-0.14898844842963299</v>
      </c>
      <c r="H100">
        <v>0.23665078609197099</v>
      </c>
      <c r="I100">
        <v>8.7662337662337705E-2</v>
      </c>
      <c r="J100">
        <v>308</v>
      </c>
      <c r="K100">
        <f t="shared" si="6"/>
        <v>-39.762288930879279</v>
      </c>
      <c r="L100">
        <f t="shared" si="4"/>
        <v>66.762288930879379</v>
      </c>
      <c r="M100">
        <f t="shared" si="7"/>
        <v>27.000000000000014</v>
      </c>
      <c r="N100">
        <f t="shared" si="5"/>
        <v>-39.762288930879365</v>
      </c>
    </row>
    <row r="101" spans="1:14" x14ac:dyDescent="0.3">
      <c r="A101">
        <v>100</v>
      </c>
      <c r="B101" t="s">
        <v>109</v>
      </c>
      <c r="C101">
        <v>-0.119079119172491</v>
      </c>
      <c r="D101">
        <v>0.30089730099067202</v>
      </c>
      <c r="E101">
        <v>-0.11872045415946</v>
      </c>
      <c r="F101">
        <v>0.30053863597764202</v>
      </c>
      <c r="G101">
        <v>-5.0817497749620397E-2</v>
      </c>
      <c r="H101">
        <v>0.23263567956780201</v>
      </c>
      <c r="I101">
        <v>0.18181818181818199</v>
      </c>
      <c r="J101">
        <v>319</v>
      </c>
      <c r="K101">
        <f t="shared" si="6"/>
        <v>-37.986239016024633</v>
      </c>
      <c r="L101">
        <f t="shared" si="4"/>
        <v>95.986239016024371</v>
      </c>
      <c r="M101">
        <f t="shared" si="7"/>
        <v>58.000000000000057</v>
      </c>
      <c r="N101">
        <f t="shared" si="5"/>
        <v>-37.986239016024314</v>
      </c>
    </row>
    <row r="102" spans="1:14" x14ac:dyDescent="0.3">
      <c r="A102">
        <v>101</v>
      </c>
      <c r="B102" t="s">
        <v>110</v>
      </c>
      <c r="C102">
        <v>1.8103313344141E-2</v>
      </c>
      <c r="D102">
        <v>0.26682517950514401</v>
      </c>
      <c r="E102">
        <v>1.8210138038960499E-2</v>
      </c>
      <c r="F102">
        <v>0.26671835481032402</v>
      </c>
      <c r="G102">
        <v>1.1919997780747701E-2</v>
      </c>
      <c r="H102">
        <v>0.27300849506853703</v>
      </c>
      <c r="I102">
        <v>0.28492849284928501</v>
      </c>
      <c r="J102">
        <v>909</v>
      </c>
      <c r="K102">
        <f t="shared" si="6"/>
        <v>16.455911829824167</v>
      </c>
      <c r="L102">
        <f t="shared" si="4"/>
        <v>242.54408817017591</v>
      </c>
      <c r="M102">
        <f t="shared" si="7"/>
        <v>259.00000000000006</v>
      </c>
      <c r="N102">
        <f t="shared" si="5"/>
        <v>16.455911829824146</v>
      </c>
    </row>
    <row r="103" spans="1:14" x14ac:dyDescent="0.3">
      <c r="A103">
        <v>102</v>
      </c>
      <c r="B103" t="s">
        <v>111</v>
      </c>
      <c r="C103">
        <v>-0.113389115265616</v>
      </c>
      <c r="D103">
        <v>0.37599415728242302</v>
      </c>
      <c r="E103">
        <v>-0.113227103452094</v>
      </c>
      <c r="F103">
        <v>0.37583214546889998</v>
      </c>
      <c r="G103">
        <v>-0.12610471668096199</v>
      </c>
      <c r="H103">
        <v>0.38870975869776903</v>
      </c>
      <c r="I103">
        <v>0.26260504201680701</v>
      </c>
      <c r="J103">
        <v>476</v>
      </c>
      <c r="K103">
        <f t="shared" si="6"/>
        <v>-53.973218866433214</v>
      </c>
      <c r="L103">
        <f t="shared" si="4"/>
        <v>178.97321886643337</v>
      </c>
      <c r="M103">
        <f t="shared" si="7"/>
        <v>125.00000000000014</v>
      </c>
      <c r="N103">
        <f t="shared" si="5"/>
        <v>-53.973218866433228</v>
      </c>
    </row>
    <row r="104" spans="1:14" x14ac:dyDescent="0.3">
      <c r="A104">
        <v>103</v>
      </c>
      <c r="B104" t="s">
        <v>112</v>
      </c>
      <c r="C104">
        <v>-3.21280911015005E-2</v>
      </c>
      <c r="D104">
        <v>0.32333688231029201</v>
      </c>
      <c r="E104">
        <v>-3.1483376815553001E-2</v>
      </c>
      <c r="F104">
        <v>0.32269216802434397</v>
      </c>
      <c r="G104">
        <v>2.00689783269924E-2</v>
      </c>
      <c r="H104">
        <v>0.271139812881799</v>
      </c>
      <c r="I104">
        <v>0.29120879120879101</v>
      </c>
      <c r="J104">
        <v>182</v>
      </c>
      <c r="K104">
        <f t="shared" si="6"/>
        <v>-5.8473125804730905</v>
      </c>
      <c r="L104">
        <f t="shared" si="4"/>
        <v>58.847312580473144</v>
      </c>
      <c r="M104">
        <f t="shared" si="7"/>
        <v>52.999999999999964</v>
      </c>
      <c r="N104">
        <f t="shared" si="5"/>
        <v>-5.8473125804731794</v>
      </c>
    </row>
    <row r="105" spans="1:14" x14ac:dyDescent="0.3">
      <c r="A105">
        <v>104</v>
      </c>
      <c r="B105" t="s">
        <v>113</v>
      </c>
      <c r="C105">
        <v>-3.04865784721664E-2</v>
      </c>
      <c r="D105">
        <v>7.3964839341731606E-2</v>
      </c>
      <c r="E105">
        <v>-3.0493319239378501E-2</v>
      </c>
      <c r="F105">
        <v>7.3971580108943696E-2</v>
      </c>
      <c r="G105">
        <v>-6.4778134827962602E-3</v>
      </c>
      <c r="H105">
        <v>4.9956074352361497E-2</v>
      </c>
      <c r="I105">
        <v>4.3478260869565202E-2</v>
      </c>
      <c r="J105">
        <v>299</v>
      </c>
      <c r="K105">
        <f t="shared" si="6"/>
        <v>-9.1154869631777533</v>
      </c>
      <c r="L105">
        <f t="shared" si="4"/>
        <v>22.115486963177752</v>
      </c>
      <c r="M105">
        <f t="shared" si="7"/>
        <v>12.999999999999995</v>
      </c>
      <c r="N105">
        <f t="shared" si="5"/>
        <v>-9.1154869631777569</v>
      </c>
    </row>
    <row r="106" spans="1:14" x14ac:dyDescent="0.3">
      <c r="A106">
        <v>105</v>
      </c>
      <c r="B106" t="s">
        <v>114</v>
      </c>
      <c r="C106">
        <v>3.04776803169793E-2</v>
      </c>
      <c r="D106">
        <v>0.33108995558693999</v>
      </c>
      <c r="E106">
        <v>3.06027830726253E-2</v>
      </c>
      <c r="F106">
        <v>0.33096485283129401</v>
      </c>
      <c r="G106">
        <v>2.92916333265744E-2</v>
      </c>
      <c r="H106">
        <v>0.33227600257734502</v>
      </c>
      <c r="I106">
        <v>0.36156763590391899</v>
      </c>
      <c r="J106">
        <v>791</v>
      </c>
      <c r="K106">
        <f t="shared" si="6"/>
        <v>24.107845130730627</v>
      </c>
      <c r="L106">
        <f t="shared" si="4"/>
        <v>261.89215486926952</v>
      </c>
      <c r="M106">
        <f t="shared" si="7"/>
        <v>285.99999999999994</v>
      </c>
      <c r="N106">
        <f t="shared" si="5"/>
        <v>24.107845130730425</v>
      </c>
    </row>
    <row r="107" spans="1:14" x14ac:dyDescent="0.3">
      <c r="A107">
        <v>106</v>
      </c>
      <c r="B107" t="s">
        <v>115</v>
      </c>
      <c r="C107">
        <v>-9.3838821253020305E-3</v>
      </c>
      <c r="D107">
        <v>0.30237751269855001</v>
      </c>
      <c r="E107">
        <v>-9.1409806599074307E-3</v>
      </c>
      <c r="F107">
        <v>0.30213461123315599</v>
      </c>
      <c r="G107">
        <v>3.80383185423727E-3</v>
      </c>
      <c r="H107">
        <v>0.28918979871901102</v>
      </c>
      <c r="I107">
        <v>0.29299363057324801</v>
      </c>
      <c r="J107">
        <v>157</v>
      </c>
      <c r="K107">
        <f t="shared" si="6"/>
        <v>-1.4732694936724189</v>
      </c>
      <c r="L107">
        <f t="shared" si="4"/>
        <v>47.473269493672355</v>
      </c>
      <c r="M107">
        <f t="shared" si="7"/>
        <v>45.999999999999936</v>
      </c>
      <c r="N107">
        <f t="shared" si="5"/>
        <v>-1.4732694936724187</v>
      </c>
    </row>
    <row r="108" spans="1:14" x14ac:dyDescent="0.3">
      <c r="A108">
        <v>107</v>
      </c>
      <c r="B108" t="s">
        <v>116</v>
      </c>
      <c r="C108">
        <v>0.11865122132917499</v>
      </c>
      <c r="D108">
        <v>0.29865157765301298</v>
      </c>
      <c r="E108">
        <v>0.118746291789202</v>
      </c>
      <c r="F108">
        <v>0.29855650719298599</v>
      </c>
      <c r="G108">
        <v>7.2404128588580099E-2</v>
      </c>
      <c r="H108">
        <v>0.344898670393608</v>
      </c>
      <c r="I108">
        <v>0.41730279898218797</v>
      </c>
      <c r="J108">
        <v>786</v>
      </c>
      <c r="K108">
        <f t="shared" si="6"/>
        <v>93.259859964731547</v>
      </c>
      <c r="L108">
        <f t="shared" si="4"/>
        <v>234.74014003526821</v>
      </c>
      <c r="M108">
        <f t="shared" si="7"/>
        <v>327.99999999999977</v>
      </c>
      <c r="N108">
        <f t="shared" si="5"/>
        <v>93.259859964731561</v>
      </c>
    </row>
    <row r="109" spans="1:14" x14ac:dyDescent="0.3">
      <c r="A109">
        <v>108</v>
      </c>
      <c r="B109" t="s">
        <v>117</v>
      </c>
      <c r="C109">
        <v>-3.2317902755265603E-2</v>
      </c>
      <c r="D109">
        <v>5.3746474183836997E-2</v>
      </c>
      <c r="E109">
        <v>-3.2318324207278697E-2</v>
      </c>
      <c r="F109">
        <v>5.3746895635850098E-2</v>
      </c>
      <c r="G109">
        <v>-2.0583629983832299E-2</v>
      </c>
      <c r="H109">
        <v>4.2012201412403798E-2</v>
      </c>
      <c r="I109">
        <v>2.1428571428571401E-2</v>
      </c>
      <c r="J109">
        <v>140</v>
      </c>
      <c r="K109">
        <f t="shared" si="6"/>
        <v>-4.5245063857371841</v>
      </c>
      <c r="L109">
        <f t="shared" si="4"/>
        <v>7.5245063857371797</v>
      </c>
      <c r="M109">
        <f t="shared" si="7"/>
        <v>2.999999999999996</v>
      </c>
      <c r="N109">
        <f t="shared" si="5"/>
        <v>-4.5245063857371832</v>
      </c>
    </row>
    <row r="110" spans="1:14" x14ac:dyDescent="0.3">
      <c r="A110">
        <v>109</v>
      </c>
      <c r="B110" t="s">
        <v>118</v>
      </c>
      <c r="C110">
        <v>0.171526240335442</v>
      </c>
      <c r="D110">
        <v>0.61883520544769</v>
      </c>
      <c r="E110">
        <v>0.17326616743544099</v>
      </c>
      <c r="F110">
        <v>0.61709527834769196</v>
      </c>
      <c r="G110">
        <v>0.21145842282696001</v>
      </c>
      <c r="H110">
        <v>0.57890302295617302</v>
      </c>
      <c r="I110">
        <v>0.79036144578313205</v>
      </c>
      <c r="J110">
        <v>415</v>
      </c>
      <c r="K110">
        <f t="shared" si="6"/>
        <v>71.183389739208437</v>
      </c>
      <c r="L110">
        <f t="shared" si="4"/>
        <v>256.81661026079132</v>
      </c>
      <c r="M110">
        <f t="shared" si="7"/>
        <v>327.99999999999983</v>
      </c>
      <c r="N110">
        <f t="shared" si="5"/>
        <v>71.183389739208508</v>
      </c>
    </row>
    <row r="111" spans="1:14" x14ac:dyDescent="0.3">
      <c r="A111">
        <v>110</v>
      </c>
      <c r="B111" t="s">
        <v>119</v>
      </c>
      <c r="C111">
        <v>-1.6614860178666199E-2</v>
      </c>
      <c r="D111">
        <v>0.47799697399980401</v>
      </c>
      <c r="E111">
        <v>-1.6289769619867198E-2</v>
      </c>
      <c r="F111">
        <v>0.47767188344100497</v>
      </c>
      <c r="G111">
        <v>-4.85591066183919E-3</v>
      </c>
      <c r="H111">
        <v>0.46623802448297702</v>
      </c>
      <c r="I111">
        <v>0.46138211382113797</v>
      </c>
      <c r="J111">
        <v>492</v>
      </c>
      <c r="K111">
        <f t="shared" si="6"/>
        <v>-8.1745112079037696</v>
      </c>
      <c r="L111">
        <f t="shared" si="4"/>
        <v>235.17451120790358</v>
      </c>
      <c r="M111">
        <f t="shared" si="7"/>
        <v>226.99999999999989</v>
      </c>
      <c r="N111">
        <f t="shared" si="5"/>
        <v>-8.1745112079036915</v>
      </c>
    </row>
    <row r="112" spans="1:14" x14ac:dyDescent="0.3">
      <c r="A112">
        <v>111</v>
      </c>
      <c r="B112" t="s">
        <v>120</v>
      </c>
      <c r="C112">
        <v>0.106558045966596</v>
      </c>
      <c r="D112">
        <v>0.33484820403340398</v>
      </c>
      <c r="E112">
        <v>0.107237894311283</v>
      </c>
      <c r="F112">
        <v>0.334168355688717</v>
      </c>
      <c r="G112">
        <v>0.113407049559638</v>
      </c>
      <c r="H112">
        <v>0.32799920044036202</v>
      </c>
      <c r="I112">
        <v>0.44140625</v>
      </c>
      <c r="J112">
        <v>256</v>
      </c>
      <c r="K112">
        <f t="shared" si="6"/>
        <v>27.278859767448576</v>
      </c>
      <c r="L112">
        <f t="shared" si="4"/>
        <v>85.72114023255142</v>
      </c>
      <c r="M112">
        <f t="shared" si="7"/>
        <v>113</v>
      </c>
      <c r="N112">
        <f t="shared" si="5"/>
        <v>27.27885976744858</v>
      </c>
    </row>
    <row r="113" spans="1:14" x14ac:dyDescent="0.3">
      <c r="A113">
        <v>112</v>
      </c>
      <c r="B113" t="s">
        <v>121</v>
      </c>
      <c r="C113">
        <v>4.95040020002884E-2</v>
      </c>
      <c r="D113">
        <v>0.27702661024461001</v>
      </c>
      <c r="E113">
        <v>5.1019712728394701E-2</v>
      </c>
      <c r="F113">
        <v>0.27551089951650298</v>
      </c>
      <c r="G113">
        <v>4.6835349425398402E-2</v>
      </c>
      <c r="H113">
        <v>0.27969526281950002</v>
      </c>
      <c r="I113">
        <v>0.32653061224489799</v>
      </c>
      <c r="J113">
        <v>49</v>
      </c>
      <c r="K113">
        <f t="shared" si="6"/>
        <v>2.4256960980141318</v>
      </c>
      <c r="L113">
        <f t="shared" si="4"/>
        <v>13.574303901985891</v>
      </c>
      <c r="M113">
        <f t="shared" si="7"/>
        <v>16</v>
      </c>
      <c r="N113">
        <f t="shared" si="5"/>
        <v>2.4256960980141091</v>
      </c>
    </row>
    <row r="114" spans="1:14" x14ac:dyDescent="0.3">
      <c r="A114">
        <v>113</v>
      </c>
      <c r="B114" t="s">
        <v>122</v>
      </c>
      <c r="C114">
        <v>0.22388108291987499</v>
      </c>
      <c r="D114">
        <v>0.52611891708012504</v>
      </c>
      <c r="E114">
        <v>0.226542963850171</v>
      </c>
      <c r="F114">
        <v>0.52345703614982897</v>
      </c>
      <c r="G114">
        <v>0.24218869707020199</v>
      </c>
      <c r="H114">
        <v>0.50781130292979804</v>
      </c>
      <c r="I114">
        <v>0.75</v>
      </c>
      <c r="J114">
        <v>80</v>
      </c>
      <c r="K114">
        <f t="shared" si="6"/>
        <v>17.910486633590001</v>
      </c>
      <c r="L114">
        <f t="shared" si="4"/>
        <v>42.089513366410003</v>
      </c>
      <c r="M114">
        <f t="shared" si="7"/>
        <v>60</v>
      </c>
      <c r="N114">
        <f t="shared" si="5"/>
        <v>17.910486633589997</v>
      </c>
    </row>
    <row r="115" spans="1:14" x14ac:dyDescent="0.3">
      <c r="A115">
        <v>114</v>
      </c>
      <c r="B115" t="s">
        <v>123</v>
      </c>
      <c r="C115">
        <v>0.15510945545073401</v>
      </c>
      <c r="D115">
        <v>0.50342712991511895</v>
      </c>
      <c r="E115">
        <v>0.15840411541944199</v>
      </c>
      <c r="F115">
        <v>0.50013246994641103</v>
      </c>
      <c r="G115">
        <v>0.17653324422665601</v>
      </c>
      <c r="H115">
        <v>0.48200334113919802</v>
      </c>
      <c r="I115">
        <v>0.65853658536585402</v>
      </c>
      <c r="J115">
        <v>41</v>
      </c>
      <c r="K115">
        <f t="shared" si="6"/>
        <v>6.3594876734800945</v>
      </c>
      <c r="L115">
        <f t="shared" si="4"/>
        <v>20.640512326519875</v>
      </c>
      <c r="M115">
        <f t="shared" si="7"/>
        <v>27.000000000000014</v>
      </c>
      <c r="N115">
        <f t="shared" si="5"/>
        <v>6.3594876734801389</v>
      </c>
    </row>
    <row r="116" spans="1:14" x14ac:dyDescent="0.3">
      <c r="A116">
        <v>115</v>
      </c>
      <c r="B116" t="s">
        <v>124</v>
      </c>
      <c r="C116">
        <v>3.32186810362343E-2</v>
      </c>
      <c r="D116">
        <v>0.85070989039233702</v>
      </c>
      <c r="E116">
        <v>3.71544904052339E-2</v>
      </c>
      <c r="F116">
        <v>0.84677408102333795</v>
      </c>
      <c r="G116">
        <v>0.120361956565012</v>
      </c>
      <c r="H116">
        <v>0.76356661486355903</v>
      </c>
      <c r="I116">
        <v>0.88392857142857095</v>
      </c>
      <c r="J116">
        <v>112</v>
      </c>
      <c r="K116">
        <f t="shared" si="6"/>
        <v>3.7204922760582417</v>
      </c>
      <c r="L116">
        <f t="shared" si="4"/>
        <v>95.279507723941748</v>
      </c>
      <c r="M116">
        <f t="shared" si="7"/>
        <v>98.999999999999943</v>
      </c>
      <c r="N116">
        <f t="shared" si="5"/>
        <v>3.7204922760581951</v>
      </c>
    </row>
    <row r="117" spans="1:14" x14ac:dyDescent="0.3">
      <c r="A117">
        <v>116</v>
      </c>
      <c r="B117" t="s">
        <v>125</v>
      </c>
      <c r="C117">
        <v>-0.19117005060713499</v>
      </c>
      <c r="D117">
        <v>0.63561449505157996</v>
      </c>
      <c r="E117">
        <v>-0.182592055101191</v>
      </c>
      <c r="F117">
        <v>0.62703649954563501</v>
      </c>
      <c r="G117">
        <v>-0.151644150407966</v>
      </c>
      <c r="H117">
        <v>0.59608859485241095</v>
      </c>
      <c r="I117">
        <v>0.44444444444444398</v>
      </c>
      <c r="J117">
        <v>9</v>
      </c>
      <c r="K117">
        <f t="shared" si="6"/>
        <v>-1.7205304554642149</v>
      </c>
      <c r="L117">
        <f t="shared" si="4"/>
        <v>5.7205304554642193</v>
      </c>
      <c r="M117">
        <f t="shared" si="7"/>
        <v>3.9999999999999956</v>
      </c>
      <c r="N117">
        <f t="shared" si="5"/>
        <v>-1.7205304554642238</v>
      </c>
    </row>
    <row r="118" spans="1:14" x14ac:dyDescent="0.3">
      <c r="A118">
        <v>117</v>
      </c>
      <c r="B118" t="s">
        <v>126</v>
      </c>
      <c r="C118">
        <v>4.3427913930449903E-2</v>
      </c>
      <c r="D118">
        <v>0.95657208606955002</v>
      </c>
      <c r="E118">
        <v>4.5721238669937499E-2</v>
      </c>
      <c r="F118">
        <v>0.95427876133006295</v>
      </c>
      <c r="G118">
        <v>8.44266247965169E-2</v>
      </c>
      <c r="H118">
        <v>0.91557337520348303</v>
      </c>
      <c r="I118">
        <v>1</v>
      </c>
      <c r="J118">
        <v>7</v>
      </c>
      <c r="K118">
        <f t="shared" si="6"/>
        <v>0.3039953975131493</v>
      </c>
      <c r="L118">
        <f t="shared" si="4"/>
        <v>6.69600460248685</v>
      </c>
      <c r="M118">
        <f t="shared" si="7"/>
        <v>7</v>
      </c>
      <c r="N118">
        <f t="shared" si="5"/>
        <v>0.30399539751314997</v>
      </c>
    </row>
    <row r="119" spans="1:14" x14ac:dyDescent="0.3">
      <c r="A119">
        <v>118</v>
      </c>
      <c r="B119" t="s">
        <v>127</v>
      </c>
      <c r="C119">
        <v>-0.138779253051802</v>
      </c>
      <c r="D119">
        <v>0.50241561668816503</v>
      </c>
      <c r="E119">
        <v>-0.12838647870700201</v>
      </c>
      <c r="F119">
        <v>0.49202284234336602</v>
      </c>
      <c r="G119">
        <v>-0.12561918099391101</v>
      </c>
      <c r="H119">
        <v>0.48925554463027499</v>
      </c>
      <c r="I119">
        <v>0.36363636363636398</v>
      </c>
      <c r="J119">
        <v>11</v>
      </c>
      <c r="K119">
        <f t="shared" si="6"/>
        <v>-1.526571783569822</v>
      </c>
      <c r="L119">
        <f t="shared" si="4"/>
        <v>5.5265717835698158</v>
      </c>
      <c r="M119">
        <f t="shared" si="7"/>
        <v>4.0000000000000036</v>
      </c>
      <c r="N119">
        <f t="shared" si="5"/>
        <v>-1.5265717835698123</v>
      </c>
    </row>
    <row r="120" spans="1:14" x14ac:dyDescent="0.3">
      <c r="A120">
        <v>119</v>
      </c>
      <c r="B120" t="s">
        <v>128</v>
      </c>
      <c r="C120">
        <v>-8.3710450997628597E-2</v>
      </c>
      <c r="D120">
        <v>0.538255905543083</v>
      </c>
      <c r="E120">
        <v>-7.7297027207500799E-2</v>
      </c>
      <c r="F120">
        <v>0.53184248175295501</v>
      </c>
      <c r="G120">
        <v>-3.2305768097102602E-2</v>
      </c>
      <c r="H120">
        <v>0.48685122264255698</v>
      </c>
      <c r="I120">
        <v>0.45454545454545497</v>
      </c>
      <c r="J120">
        <v>11</v>
      </c>
      <c r="K120">
        <f t="shared" si="6"/>
        <v>-0.92081496097391458</v>
      </c>
      <c r="L120">
        <f t="shared" si="4"/>
        <v>5.9208149609739129</v>
      </c>
      <c r="M120">
        <f t="shared" si="7"/>
        <v>5.0000000000000044</v>
      </c>
      <c r="N120">
        <f t="shared" si="5"/>
        <v>-0.92081496097390847</v>
      </c>
    </row>
    <row r="121" spans="1:14" x14ac:dyDescent="0.3">
      <c r="A121">
        <v>120</v>
      </c>
      <c r="B121" t="s">
        <v>129</v>
      </c>
      <c r="C121">
        <v>-7.2569879459024197E-2</v>
      </c>
      <c r="D121">
        <v>0.95492282063549505</v>
      </c>
      <c r="E121">
        <v>-6.8857788708193604E-2</v>
      </c>
      <c r="F121">
        <v>0.95121072988466404</v>
      </c>
      <c r="G121">
        <v>-6.2409079673208002E-2</v>
      </c>
      <c r="H121">
        <v>0.94476202084967897</v>
      </c>
      <c r="I121">
        <v>0.88235294117647001</v>
      </c>
      <c r="J121">
        <v>17</v>
      </c>
      <c r="K121">
        <f t="shared" si="6"/>
        <v>-1.2336879508034113</v>
      </c>
      <c r="L121">
        <f t="shared" si="4"/>
        <v>16.233687950803414</v>
      </c>
      <c r="M121">
        <f t="shared" si="7"/>
        <v>14.999999999999989</v>
      </c>
      <c r="N121">
        <f t="shared" si="5"/>
        <v>-1.2336879508034251</v>
      </c>
    </row>
    <row r="122" spans="1:14" x14ac:dyDescent="0.3">
      <c r="A122">
        <v>121</v>
      </c>
      <c r="B122" t="s">
        <v>130</v>
      </c>
      <c r="C122">
        <v>-1.7658656979457201E-2</v>
      </c>
      <c r="D122">
        <v>0.99980151412231399</v>
      </c>
      <c r="E122">
        <v>-1.7658269166893701E-2</v>
      </c>
      <c r="F122">
        <v>0.99980112630975104</v>
      </c>
      <c r="G122">
        <v>-1.7619652310473501E-2</v>
      </c>
      <c r="H122">
        <v>0.99976250945333101</v>
      </c>
      <c r="I122">
        <v>0.98214285714285698</v>
      </c>
      <c r="J122">
        <v>56</v>
      </c>
      <c r="K122">
        <f t="shared" si="6"/>
        <v>-0.98888479084960323</v>
      </c>
      <c r="L122">
        <f t="shared" si="4"/>
        <v>55.988884790849582</v>
      </c>
      <c r="M122">
        <f t="shared" si="7"/>
        <v>54.999999999999993</v>
      </c>
      <c r="N122">
        <f t="shared" si="5"/>
        <v>-0.98888479084958902</v>
      </c>
    </row>
    <row r="123" spans="1:14" x14ac:dyDescent="0.3">
      <c r="A123">
        <v>122</v>
      </c>
      <c r="B123" t="s">
        <v>131</v>
      </c>
      <c r="C123">
        <v>6.6512974842553599E-2</v>
      </c>
      <c r="D123">
        <v>0.59735257137593401</v>
      </c>
      <c r="E123">
        <v>6.9254313194475794E-2</v>
      </c>
      <c r="F123">
        <v>0.59461123302401198</v>
      </c>
      <c r="G123">
        <v>0.115264246825264</v>
      </c>
      <c r="H123">
        <v>0.548601299393224</v>
      </c>
      <c r="I123">
        <v>0.66386554621848703</v>
      </c>
      <c r="J123">
        <v>119</v>
      </c>
      <c r="K123">
        <f t="shared" si="6"/>
        <v>7.9150440062638783</v>
      </c>
      <c r="L123">
        <f t="shared" si="4"/>
        <v>71.084955993736145</v>
      </c>
      <c r="M123">
        <f t="shared" si="7"/>
        <v>78.999999999999957</v>
      </c>
      <c r="N123">
        <f t="shared" si="5"/>
        <v>7.9150440062638125</v>
      </c>
    </row>
    <row r="124" spans="1:14" x14ac:dyDescent="0.3">
      <c r="A124">
        <v>123</v>
      </c>
      <c r="B124" t="s">
        <v>132</v>
      </c>
      <c r="C124">
        <v>0.111860868630034</v>
      </c>
      <c r="D124">
        <v>0.25710914440777499</v>
      </c>
      <c r="E124">
        <v>0.112151222709108</v>
      </c>
      <c r="F124">
        <v>0.25681879032870097</v>
      </c>
      <c r="G124">
        <v>0.11402584483769999</v>
      </c>
      <c r="H124">
        <v>0.25494416820011001</v>
      </c>
      <c r="I124">
        <v>0.36897001303781002</v>
      </c>
      <c r="J124">
        <v>767</v>
      </c>
      <c r="K124">
        <f t="shared" si="6"/>
        <v>85.797286239236072</v>
      </c>
      <c r="L124">
        <f t="shared" si="4"/>
        <v>197.20271376076343</v>
      </c>
      <c r="M124">
        <f t="shared" si="7"/>
        <v>283.00000000000028</v>
      </c>
      <c r="N124">
        <f t="shared" si="5"/>
        <v>85.797286239236854</v>
      </c>
    </row>
    <row r="125" spans="1:14" x14ac:dyDescent="0.3">
      <c r="A125">
        <v>124</v>
      </c>
      <c r="B125" t="s">
        <v>133</v>
      </c>
      <c r="C125">
        <v>4.7824269669196798E-2</v>
      </c>
      <c r="D125">
        <v>0.26016052120532801</v>
      </c>
      <c r="E125">
        <v>4.7826013613573498E-2</v>
      </c>
      <c r="F125">
        <v>0.26015877726095099</v>
      </c>
      <c r="G125">
        <v>4.7865335855213E-2</v>
      </c>
      <c r="H125">
        <v>0.260119455019312</v>
      </c>
      <c r="I125">
        <v>0.30798479087452502</v>
      </c>
      <c r="J125">
        <v>263</v>
      </c>
      <c r="K125">
        <f t="shared" si="6"/>
        <v>12.577782922998757</v>
      </c>
      <c r="L125">
        <f t="shared" si="4"/>
        <v>68.422217077001264</v>
      </c>
      <c r="M125">
        <f t="shared" si="7"/>
        <v>81.000000000000085</v>
      </c>
      <c r="N125">
        <f t="shared" si="5"/>
        <v>12.577782922998821</v>
      </c>
    </row>
    <row r="126" spans="1:14" x14ac:dyDescent="0.3">
      <c r="A126">
        <v>125</v>
      </c>
      <c r="B126" t="s">
        <v>134</v>
      </c>
      <c r="C126">
        <v>-7.4359059525947901E-2</v>
      </c>
      <c r="D126">
        <v>0.30740990698357501</v>
      </c>
      <c r="E126">
        <v>-7.4361102161040707E-2</v>
      </c>
      <c r="F126">
        <v>0.30741194961866802</v>
      </c>
      <c r="G126">
        <v>-7.3874961595671404E-2</v>
      </c>
      <c r="H126">
        <v>0.30692580905329903</v>
      </c>
      <c r="I126">
        <v>0.233050847457627</v>
      </c>
      <c r="J126">
        <v>708</v>
      </c>
      <c r="K126">
        <f t="shared" si="6"/>
        <v>-52.646214144371115</v>
      </c>
      <c r="L126">
        <f t="shared" si="4"/>
        <v>217.6462141443711</v>
      </c>
      <c r="M126">
        <f t="shared" si="7"/>
        <v>164.99999999999991</v>
      </c>
      <c r="N126">
        <f t="shared" si="5"/>
        <v>-52.646214144371186</v>
      </c>
    </row>
    <row r="127" spans="1:14" x14ac:dyDescent="0.3">
      <c r="A127">
        <v>126</v>
      </c>
      <c r="B127" t="s">
        <v>135</v>
      </c>
      <c r="C127">
        <v>4.7159163738683202E-2</v>
      </c>
      <c r="D127">
        <v>0.61137742162717001</v>
      </c>
      <c r="E127">
        <v>4.9234953097028897E-2</v>
      </c>
      <c r="F127">
        <v>0.60930163226882506</v>
      </c>
      <c r="G127">
        <v>6.5201407235672706E-2</v>
      </c>
      <c r="H127">
        <v>0.593335178130181</v>
      </c>
      <c r="I127">
        <v>0.65853658536585402</v>
      </c>
      <c r="J127">
        <v>41</v>
      </c>
      <c r="K127">
        <f t="shared" si="6"/>
        <v>1.9335257132860113</v>
      </c>
      <c r="L127">
        <f t="shared" si="4"/>
        <v>25.066474286713969</v>
      </c>
      <c r="M127">
        <f t="shared" si="7"/>
        <v>27.000000000000014</v>
      </c>
      <c r="N127">
        <f t="shared" si="5"/>
        <v>1.9335257132860448</v>
      </c>
    </row>
    <row r="128" spans="1:14" x14ac:dyDescent="0.3">
      <c r="A128">
        <v>127</v>
      </c>
      <c r="B128" t="s">
        <v>136</v>
      </c>
      <c r="C128">
        <v>6.7285138262298094E-2</v>
      </c>
      <c r="D128">
        <v>0.313667242690083</v>
      </c>
      <c r="E128">
        <v>6.8046878747886494E-2</v>
      </c>
      <c r="F128">
        <v>0.31290550220449398</v>
      </c>
      <c r="G128">
        <v>8.1238543846134506E-2</v>
      </c>
      <c r="H128">
        <v>0.29971383710624599</v>
      </c>
      <c r="I128">
        <v>0.38095238095238099</v>
      </c>
      <c r="J128">
        <v>21</v>
      </c>
      <c r="K128">
        <f t="shared" si="6"/>
        <v>1.41298790350826</v>
      </c>
      <c r="L128">
        <f t="shared" si="4"/>
        <v>6.5870120964917431</v>
      </c>
      <c r="M128">
        <f t="shared" si="7"/>
        <v>8</v>
      </c>
      <c r="N128">
        <f t="shared" si="5"/>
        <v>1.4129879035082569</v>
      </c>
    </row>
    <row r="129" spans="1:14" x14ac:dyDescent="0.3">
      <c r="A129">
        <v>128</v>
      </c>
      <c r="B129" t="s">
        <v>137</v>
      </c>
      <c r="C129">
        <v>-0.14362155960636899</v>
      </c>
      <c r="D129">
        <v>0.67695489293970201</v>
      </c>
      <c r="E129">
        <v>-0.143195005461451</v>
      </c>
      <c r="F129">
        <v>0.67652833879478502</v>
      </c>
      <c r="G129">
        <v>-8.3336288842546999E-2</v>
      </c>
      <c r="H129">
        <v>0.61666962217587995</v>
      </c>
      <c r="I129">
        <v>0.53333333333333299</v>
      </c>
      <c r="J129">
        <v>30</v>
      </c>
      <c r="K129">
        <f t="shared" si="6"/>
        <v>-4.3086467881910702</v>
      </c>
      <c r="L129">
        <f t="shared" si="4"/>
        <v>20.308646788191062</v>
      </c>
      <c r="M129">
        <f t="shared" si="7"/>
        <v>15.999999999999989</v>
      </c>
      <c r="N129">
        <f t="shared" si="5"/>
        <v>-4.3086467881910728</v>
      </c>
    </row>
    <row r="130" spans="1:14" x14ac:dyDescent="0.3">
      <c r="A130">
        <v>129</v>
      </c>
      <c r="B130" t="s">
        <v>138</v>
      </c>
      <c r="C130">
        <v>3.2973013226749598E-4</v>
      </c>
      <c r="D130">
        <v>0.35864462884209097</v>
      </c>
      <c r="E130">
        <v>1.1365338027742101E-3</v>
      </c>
      <c r="F130">
        <v>0.35783782517158502</v>
      </c>
      <c r="G130">
        <v>3.88097062345562E-2</v>
      </c>
      <c r="H130">
        <v>0.32016465273980299</v>
      </c>
      <c r="I130">
        <v>0.35897435897435898</v>
      </c>
      <c r="J130">
        <v>39</v>
      </c>
      <c r="K130">
        <f t="shared" si="6"/>
        <v>1.2859475158432342E-2</v>
      </c>
      <c r="L130">
        <f t="shared" si="4"/>
        <v>13.987140524841548</v>
      </c>
      <c r="M130">
        <f t="shared" si="7"/>
        <v>14</v>
      </c>
      <c r="N130">
        <f t="shared" si="5"/>
        <v>1.2859475158451872E-2</v>
      </c>
    </row>
    <row r="131" spans="1:14" x14ac:dyDescent="0.3">
      <c r="A131">
        <v>130</v>
      </c>
      <c r="B131" t="s">
        <v>139</v>
      </c>
      <c r="C131">
        <v>-9.5996644032549497E-2</v>
      </c>
      <c r="D131">
        <v>0.69599664403255002</v>
      </c>
      <c r="E131">
        <v>-9.5431920954393096E-2</v>
      </c>
      <c r="F131">
        <v>0.69543192095439299</v>
      </c>
      <c r="G131">
        <v>5.4193689568547497E-2</v>
      </c>
      <c r="H131">
        <v>0.545806310431452</v>
      </c>
      <c r="I131">
        <v>0.6</v>
      </c>
      <c r="J131">
        <v>60</v>
      </c>
      <c r="K131">
        <f t="shared" si="6"/>
        <v>-5.7597986419529699</v>
      </c>
      <c r="L131">
        <f t="shared" ref="L131:L173" si="8">J131*D131</f>
        <v>41.759798641952997</v>
      </c>
      <c r="M131">
        <f t="shared" si="7"/>
        <v>36</v>
      </c>
      <c r="N131">
        <f t="shared" ref="N131:N174" si="9">M131-L131</f>
        <v>-5.7597986419529974</v>
      </c>
    </row>
    <row r="132" spans="1:14" x14ac:dyDescent="0.3">
      <c r="A132">
        <v>131</v>
      </c>
      <c r="B132" t="s">
        <v>140</v>
      </c>
      <c r="C132">
        <v>0.13765805320816701</v>
      </c>
      <c r="D132">
        <v>0.570675280125166</v>
      </c>
      <c r="E132">
        <v>0.139035199374308</v>
      </c>
      <c r="F132">
        <v>0.56929813395902495</v>
      </c>
      <c r="G132">
        <v>0.12599861421516301</v>
      </c>
      <c r="H132">
        <v>0.58233471911817003</v>
      </c>
      <c r="I132">
        <v>0.70833333333333304</v>
      </c>
      <c r="J132">
        <v>24</v>
      </c>
      <c r="K132">
        <f t="shared" ref="K132:K173" si="10">J132*C132</f>
        <v>3.3037932769960081</v>
      </c>
      <c r="L132">
        <f t="shared" si="8"/>
        <v>13.696206723003984</v>
      </c>
      <c r="M132">
        <f t="shared" ref="M132:M173" si="11">J132*I132</f>
        <v>16.999999999999993</v>
      </c>
      <c r="N132">
        <f t="shared" si="9"/>
        <v>3.303793276996009</v>
      </c>
    </row>
    <row r="133" spans="1:14" x14ac:dyDescent="0.3">
      <c r="A133">
        <v>132</v>
      </c>
      <c r="B133" t="s">
        <v>141</v>
      </c>
      <c r="C133">
        <v>4.9139279196546801E-2</v>
      </c>
      <c r="D133">
        <v>0.30292683650593299</v>
      </c>
      <c r="E133">
        <v>4.98608264234702E-2</v>
      </c>
      <c r="F133">
        <v>0.30220528927900903</v>
      </c>
      <c r="G133">
        <v>5.55019230304446E-2</v>
      </c>
      <c r="H133">
        <v>0.29656419267203499</v>
      </c>
      <c r="I133">
        <v>0.35206611570247898</v>
      </c>
      <c r="J133">
        <v>605</v>
      </c>
      <c r="K133">
        <f t="shared" si="10"/>
        <v>29.729263913910813</v>
      </c>
      <c r="L133">
        <f t="shared" si="8"/>
        <v>183.27073608608947</v>
      </c>
      <c r="M133">
        <f t="shared" si="11"/>
        <v>212.99999999999977</v>
      </c>
      <c r="N133">
        <f t="shared" si="9"/>
        <v>29.729263913910302</v>
      </c>
    </row>
    <row r="134" spans="1:14" x14ac:dyDescent="0.3">
      <c r="A134">
        <v>133</v>
      </c>
      <c r="B134" t="s">
        <v>142</v>
      </c>
      <c r="C134">
        <v>0.148378236116713</v>
      </c>
      <c r="D134">
        <v>0.38545635034945303</v>
      </c>
      <c r="E134">
        <v>0.1484346316896</v>
      </c>
      <c r="F134">
        <v>0.38539995477656502</v>
      </c>
      <c r="G134">
        <v>0.191019294127908</v>
      </c>
      <c r="H134">
        <v>0.34281529233825703</v>
      </c>
      <c r="I134">
        <v>0.533834586466165</v>
      </c>
      <c r="J134">
        <v>133</v>
      </c>
      <c r="K134">
        <f t="shared" si="10"/>
        <v>19.734305403522828</v>
      </c>
      <c r="L134">
        <f t="shared" si="8"/>
        <v>51.265694596477253</v>
      </c>
      <c r="M134">
        <f t="shared" si="11"/>
        <v>70.999999999999943</v>
      </c>
      <c r="N134">
        <f t="shared" si="9"/>
        <v>19.73430540352269</v>
      </c>
    </row>
    <row r="135" spans="1:14" x14ac:dyDescent="0.3">
      <c r="A135">
        <v>134</v>
      </c>
      <c r="B135" t="s">
        <v>143</v>
      </c>
      <c r="C135">
        <v>0.195271151572284</v>
      </c>
      <c r="D135">
        <v>0.49452476679506302</v>
      </c>
      <c r="E135">
        <v>0.19564886402777601</v>
      </c>
      <c r="F135">
        <v>0.49414705433957101</v>
      </c>
      <c r="G135">
        <v>0.20119266525193499</v>
      </c>
      <c r="H135">
        <v>0.48860325311541197</v>
      </c>
      <c r="I135">
        <v>0.68979591836734699</v>
      </c>
      <c r="J135">
        <v>245</v>
      </c>
      <c r="K135">
        <f t="shared" si="10"/>
        <v>47.84143213520958</v>
      </c>
      <c r="L135">
        <f t="shared" si="8"/>
        <v>121.15856786479044</v>
      </c>
      <c r="M135">
        <f t="shared" si="11"/>
        <v>169</v>
      </c>
      <c r="N135">
        <f t="shared" si="9"/>
        <v>47.841432135209558</v>
      </c>
    </row>
    <row r="136" spans="1:14" x14ac:dyDescent="0.3">
      <c r="A136">
        <v>135</v>
      </c>
      <c r="B136" t="s">
        <v>144</v>
      </c>
      <c r="C136">
        <v>8.3998016053330096E-3</v>
      </c>
      <c r="D136">
        <v>0.37434356122652501</v>
      </c>
      <c r="E136">
        <v>8.5459570741605005E-3</v>
      </c>
      <c r="F136">
        <v>0.374197405757698</v>
      </c>
      <c r="G136">
        <v>1.2113511587028801E-3</v>
      </c>
      <c r="H136">
        <v>0.38153201167315598</v>
      </c>
      <c r="I136">
        <v>0.382743362831858</v>
      </c>
      <c r="J136">
        <v>904</v>
      </c>
      <c r="K136">
        <f t="shared" si="10"/>
        <v>7.5934206512210407</v>
      </c>
      <c r="L136">
        <f t="shared" si="8"/>
        <v>338.40657934877862</v>
      </c>
      <c r="M136">
        <f t="shared" si="11"/>
        <v>345.99999999999966</v>
      </c>
      <c r="N136">
        <f t="shared" si="9"/>
        <v>7.593420651221038</v>
      </c>
    </row>
    <row r="137" spans="1:14" x14ac:dyDescent="0.3">
      <c r="A137">
        <v>136</v>
      </c>
      <c r="B137" t="s">
        <v>145</v>
      </c>
      <c r="C137">
        <v>3.6439407397268601E-3</v>
      </c>
      <c r="D137">
        <v>0.39082842106931798</v>
      </c>
      <c r="E137">
        <v>3.7716518590766102E-3</v>
      </c>
      <c r="F137">
        <v>0.39070070994996903</v>
      </c>
      <c r="G137">
        <v>-6.2730821726096602E-3</v>
      </c>
      <c r="H137">
        <v>0.40074544398165501</v>
      </c>
      <c r="I137">
        <v>0.39447236180904499</v>
      </c>
      <c r="J137">
        <v>398</v>
      </c>
      <c r="K137">
        <f t="shared" si="10"/>
        <v>1.4502884144112904</v>
      </c>
      <c r="L137">
        <f t="shared" si="8"/>
        <v>155.54971158558857</v>
      </c>
      <c r="M137">
        <f t="shared" si="11"/>
        <v>156.99999999999991</v>
      </c>
      <c r="N137">
        <f t="shared" si="9"/>
        <v>1.4502884144113466</v>
      </c>
    </row>
    <row r="138" spans="1:14" x14ac:dyDescent="0.3">
      <c r="A138">
        <v>137</v>
      </c>
      <c r="B138" t="s">
        <v>146</v>
      </c>
      <c r="C138">
        <v>3.5610744507596499E-2</v>
      </c>
      <c r="D138">
        <v>0.35661540390229801</v>
      </c>
      <c r="E138">
        <v>3.5719297618689097E-2</v>
      </c>
      <c r="F138">
        <v>0.35650685079120498</v>
      </c>
      <c r="G138">
        <v>4.0781490175575599E-2</v>
      </c>
      <c r="H138">
        <v>0.35144465823431797</v>
      </c>
      <c r="I138">
        <v>0.392226148409894</v>
      </c>
      <c r="J138">
        <v>283</v>
      </c>
      <c r="K138">
        <f t="shared" si="10"/>
        <v>10.07784069564981</v>
      </c>
      <c r="L138">
        <f t="shared" si="8"/>
        <v>100.92215930435033</v>
      </c>
      <c r="M138">
        <f t="shared" si="11"/>
        <v>111</v>
      </c>
      <c r="N138">
        <f t="shared" si="9"/>
        <v>10.07784069564967</v>
      </c>
    </row>
    <row r="139" spans="1:14" x14ac:dyDescent="0.3">
      <c r="A139">
        <v>138</v>
      </c>
      <c r="B139" t="s">
        <v>147</v>
      </c>
      <c r="C139">
        <v>0.19320091746277501</v>
      </c>
      <c r="D139">
        <v>0.30679908253722499</v>
      </c>
      <c r="E139">
        <v>0.19382923734016699</v>
      </c>
      <c r="F139">
        <v>0.30617076265983301</v>
      </c>
      <c r="G139">
        <v>0.19682827077525999</v>
      </c>
      <c r="H139">
        <v>0.30317172922474001</v>
      </c>
      <c r="I139">
        <v>0.5</v>
      </c>
      <c r="J139">
        <v>14</v>
      </c>
      <c r="K139">
        <f t="shared" si="10"/>
        <v>2.70481284447885</v>
      </c>
      <c r="L139">
        <f t="shared" si="8"/>
        <v>4.29518715552115</v>
      </c>
      <c r="M139">
        <f t="shared" si="11"/>
        <v>7</v>
      </c>
      <c r="N139">
        <f t="shared" si="9"/>
        <v>2.70481284447885</v>
      </c>
    </row>
    <row r="140" spans="1:14" x14ac:dyDescent="0.3">
      <c r="A140">
        <v>139</v>
      </c>
      <c r="B140" t="s">
        <v>148</v>
      </c>
      <c r="C140">
        <v>3.8829793755827999E-2</v>
      </c>
      <c r="D140">
        <v>0.32480656988053602</v>
      </c>
      <c r="E140">
        <v>4.0046591185402998E-2</v>
      </c>
      <c r="F140">
        <v>0.32358977245096099</v>
      </c>
      <c r="G140">
        <v>4.2556282304655697E-2</v>
      </c>
      <c r="H140">
        <v>0.32108008133170801</v>
      </c>
      <c r="I140">
        <v>0.36363636363636398</v>
      </c>
      <c r="J140">
        <v>11</v>
      </c>
      <c r="K140">
        <f t="shared" si="10"/>
        <v>0.42712773131410797</v>
      </c>
      <c r="L140">
        <f t="shared" si="8"/>
        <v>3.572872268685896</v>
      </c>
      <c r="M140">
        <f t="shared" si="11"/>
        <v>4.0000000000000036</v>
      </c>
      <c r="N140">
        <f t="shared" si="9"/>
        <v>0.42712773131410753</v>
      </c>
    </row>
    <row r="141" spans="1:14" x14ac:dyDescent="0.3">
      <c r="A141">
        <v>140</v>
      </c>
      <c r="B141" t="s">
        <v>149</v>
      </c>
      <c r="C141">
        <v>0.153898495117512</v>
      </c>
      <c r="D141">
        <v>0.34610150488248798</v>
      </c>
      <c r="E141">
        <v>0.153898806703781</v>
      </c>
      <c r="F141">
        <v>0.34610119329621902</v>
      </c>
      <c r="G141">
        <v>0.15390287380759099</v>
      </c>
      <c r="H141">
        <v>0.34609712619240901</v>
      </c>
      <c r="I141">
        <v>0.5</v>
      </c>
      <c r="J141">
        <v>42</v>
      </c>
      <c r="K141">
        <f t="shared" si="10"/>
        <v>6.463736794935504</v>
      </c>
      <c r="L141">
        <f t="shared" si="8"/>
        <v>14.536263205064495</v>
      </c>
      <c r="M141">
        <f t="shared" si="11"/>
        <v>21</v>
      </c>
      <c r="N141">
        <f t="shared" si="9"/>
        <v>6.4637367949355049</v>
      </c>
    </row>
    <row r="142" spans="1:14" x14ac:dyDescent="0.3">
      <c r="A142">
        <v>141</v>
      </c>
      <c r="B142" t="s">
        <v>150</v>
      </c>
      <c r="C142">
        <v>1.7369358776275601E-2</v>
      </c>
      <c r="D142">
        <v>0.29068447587444002</v>
      </c>
      <c r="E142">
        <v>1.73952468166758E-2</v>
      </c>
      <c r="F142">
        <v>0.29065858783404003</v>
      </c>
      <c r="G142">
        <v>1.81088636135672E-2</v>
      </c>
      <c r="H142">
        <v>0.289944971037148</v>
      </c>
      <c r="I142">
        <v>0.30805383465071601</v>
      </c>
      <c r="J142">
        <v>4681</v>
      </c>
      <c r="K142">
        <f t="shared" si="10"/>
        <v>81.305968431746081</v>
      </c>
      <c r="L142">
        <f t="shared" si="8"/>
        <v>1360.6940315682536</v>
      </c>
      <c r="M142">
        <f t="shared" si="11"/>
        <v>1442.0000000000016</v>
      </c>
      <c r="N142">
        <f t="shared" si="9"/>
        <v>81.305968431747942</v>
      </c>
    </row>
    <row r="143" spans="1:14" x14ac:dyDescent="0.3">
      <c r="A143">
        <v>142</v>
      </c>
      <c r="B143" t="s">
        <v>151</v>
      </c>
      <c r="C143">
        <v>-2.9201221916478299E-2</v>
      </c>
      <c r="D143">
        <v>0.76833165669908698</v>
      </c>
      <c r="E143">
        <v>-2.7754600852738402E-2</v>
      </c>
      <c r="F143">
        <v>0.76688503563534705</v>
      </c>
      <c r="G143">
        <v>1.7560226107729299E-2</v>
      </c>
      <c r="H143">
        <v>0.72157020867487898</v>
      </c>
      <c r="I143">
        <v>0.73913043478260898</v>
      </c>
      <c r="J143">
        <v>23</v>
      </c>
      <c r="K143">
        <f t="shared" si="10"/>
        <v>-0.67162810407900086</v>
      </c>
      <c r="L143">
        <f t="shared" si="8"/>
        <v>17.671628104079002</v>
      </c>
      <c r="M143">
        <f t="shared" si="11"/>
        <v>17.000000000000007</v>
      </c>
      <c r="N143">
        <f t="shared" si="9"/>
        <v>-0.67162810407899443</v>
      </c>
    </row>
    <row r="144" spans="1:14" x14ac:dyDescent="0.3">
      <c r="A144">
        <v>143</v>
      </c>
      <c r="B144" t="s">
        <v>152</v>
      </c>
      <c r="C144">
        <v>-2.8077052291889299E-2</v>
      </c>
      <c r="D144">
        <v>0.87807705229188904</v>
      </c>
      <c r="E144">
        <v>-2.79070275827458E-2</v>
      </c>
      <c r="F144">
        <v>0.87790702758274597</v>
      </c>
      <c r="G144">
        <v>1.0567954020954701E-2</v>
      </c>
      <c r="H144">
        <v>0.83943204597904497</v>
      </c>
      <c r="I144">
        <v>0.85</v>
      </c>
      <c r="J144">
        <v>20</v>
      </c>
      <c r="K144">
        <f t="shared" si="10"/>
        <v>-0.56154104583778597</v>
      </c>
      <c r="L144">
        <f t="shared" si="8"/>
        <v>17.561541045837782</v>
      </c>
      <c r="M144">
        <f t="shared" si="11"/>
        <v>17</v>
      </c>
      <c r="N144">
        <f t="shared" si="9"/>
        <v>-0.56154104583778164</v>
      </c>
    </row>
    <row r="145" spans="1:14" x14ac:dyDescent="0.3">
      <c r="A145">
        <v>144</v>
      </c>
      <c r="B145" t="s">
        <v>153</v>
      </c>
      <c r="C145">
        <v>5.2536485313286897E-2</v>
      </c>
      <c r="D145">
        <v>0.294260172068329</v>
      </c>
      <c r="E145">
        <v>5.2615550907651798E-2</v>
      </c>
      <c r="F145">
        <v>0.294181106473964</v>
      </c>
      <c r="G145">
        <v>5.4164304020271302E-2</v>
      </c>
      <c r="H145">
        <v>0.29263235336134402</v>
      </c>
      <c r="I145">
        <v>0.34679665738161602</v>
      </c>
      <c r="J145">
        <v>718</v>
      </c>
      <c r="K145">
        <f t="shared" si="10"/>
        <v>37.721196454939992</v>
      </c>
      <c r="L145">
        <f t="shared" si="8"/>
        <v>211.27880354506021</v>
      </c>
      <c r="M145">
        <f t="shared" si="11"/>
        <v>249.00000000000031</v>
      </c>
      <c r="N145">
        <f t="shared" si="9"/>
        <v>37.721196454940099</v>
      </c>
    </row>
    <row r="146" spans="1:14" x14ac:dyDescent="0.3">
      <c r="A146">
        <v>145</v>
      </c>
      <c r="B146" t="s">
        <v>154</v>
      </c>
      <c r="C146">
        <v>7.5735838084326098E-4</v>
      </c>
      <c r="D146">
        <v>0.65052469290120796</v>
      </c>
      <c r="E146">
        <v>1.2776603044173901E-3</v>
      </c>
      <c r="F146">
        <v>0.65000439097763396</v>
      </c>
      <c r="G146">
        <v>3.0897913693019301E-2</v>
      </c>
      <c r="H146">
        <v>0.62038413758903199</v>
      </c>
      <c r="I146">
        <v>0.65128205128205097</v>
      </c>
      <c r="J146">
        <v>975</v>
      </c>
      <c r="K146">
        <f t="shared" si="10"/>
        <v>0.73842442132217945</v>
      </c>
      <c r="L146">
        <f t="shared" si="8"/>
        <v>634.26157557867771</v>
      </c>
      <c r="M146">
        <f t="shared" si="11"/>
        <v>634.99999999999966</v>
      </c>
      <c r="N146">
        <f t="shared" si="9"/>
        <v>0.73842442132195174</v>
      </c>
    </row>
    <row r="147" spans="1:14" x14ac:dyDescent="0.3">
      <c r="A147">
        <v>146</v>
      </c>
      <c r="B147" t="s">
        <v>155</v>
      </c>
      <c r="C147">
        <v>4.3239967736980897E-2</v>
      </c>
      <c r="D147">
        <v>0.42058855265599299</v>
      </c>
      <c r="E147">
        <v>4.3240445867247103E-2</v>
      </c>
      <c r="F147">
        <v>0.420588074525727</v>
      </c>
      <c r="G147">
        <v>4.0662642040818299E-2</v>
      </c>
      <c r="H147">
        <v>0.42316587835215602</v>
      </c>
      <c r="I147">
        <v>0.46382852039297401</v>
      </c>
      <c r="J147">
        <v>3359</v>
      </c>
      <c r="K147">
        <f t="shared" si="10"/>
        <v>145.24305162851883</v>
      </c>
      <c r="L147">
        <f t="shared" si="8"/>
        <v>1412.7569483714803</v>
      </c>
      <c r="M147">
        <f t="shared" si="11"/>
        <v>1557.9999999999998</v>
      </c>
      <c r="N147">
        <f t="shared" si="9"/>
        <v>145.24305162851942</v>
      </c>
    </row>
    <row r="148" spans="1:14" x14ac:dyDescent="0.3">
      <c r="A148">
        <v>147</v>
      </c>
      <c r="B148" t="s">
        <v>156</v>
      </c>
      <c r="C148">
        <v>7.0287987488902703E-3</v>
      </c>
      <c r="D148">
        <v>0.201980210260119</v>
      </c>
      <c r="E148">
        <v>7.0734419979399102E-3</v>
      </c>
      <c r="F148">
        <v>0.20193556701106899</v>
      </c>
      <c r="G148">
        <v>9.6565466972598005E-2</v>
      </c>
      <c r="H148">
        <v>0.11244354203641101</v>
      </c>
      <c r="I148">
        <v>0.20900900900900901</v>
      </c>
      <c r="J148">
        <v>555</v>
      </c>
      <c r="K148">
        <f t="shared" si="10"/>
        <v>3.9009833056340999</v>
      </c>
      <c r="L148">
        <f t="shared" si="8"/>
        <v>112.09901669436604</v>
      </c>
      <c r="M148">
        <f t="shared" si="11"/>
        <v>116</v>
      </c>
      <c r="N148">
        <f t="shared" si="9"/>
        <v>3.9009833056339573</v>
      </c>
    </row>
    <row r="149" spans="1:14" x14ac:dyDescent="0.3">
      <c r="A149">
        <v>148</v>
      </c>
      <c r="B149" t="s">
        <v>157</v>
      </c>
      <c r="C149">
        <v>0.106218532555547</v>
      </c>
      <c r="D149">
        <v>0.314071322516917</v>
      </c>
      <c r="E149">
        <v>0.10641029982108299</v>
      </c>
      <c r="F149">
        <v>0.313879555251381</v>
      </c>
      <c r="G149">
        <v>0.108209850505442</v>
      </c>
      <c r="H149">
        <v>0.31208000456702201</v>
      </c>
      <c r="I149">
        <v>0.42028985507246402</v>
      </c>
      <c r="J149">
        <v>69</v>
      </c>
      <c r="K149">
        <f t="shared" si="10"/>
        <v>7.3290787463327431</v>
      </c>
      <c r="L149">
        <f t="shared" si="8"/>
        <v>21.670921253667274</v>
      </c>
      <c r="M149">
        <f t="shared" si="11"/>
        <v>29.000000000000018</v>
      </c>
      <c r="N149">
        <f t="shared" si="9"/>
        <v>7.329078746332744</v>
      </c>
    </row>
    <row r="150" spans="1:14" x14ac:dyDescent="0.3">
      <c r="A150">
        <v>149</v>
      </c>
      <c r="B150" t="s">
        <v>158</v>
      </c>
      <c r="C150">
        <v>0.100447735387506</v>
      </c>
      <c r="D150">
        <v>0.69366991167131797</v>
      </c>
      <c r="E150">
        <v>0.112006314428106</v>
      </c>
      <c r="F150">
        <v>0.68211133263071799</v>
      </c>
      <c r="G150">
        <v>0.13959970915887199</v>
      </c>
      <c r="H150">
        <v>0.65451793789995205</v>
      </c>
      <c r="I150">
        <v>0.79411764705882304</v>
      </c>
      <c r="J150">
        <v>34</v>
      </c>
      <c r="K150">
        <f t="shared" si="10"/>
        <v>3.4152230031752038</v>
      </c>
      <c r="L150">
        <f t="shared" si="8"/>
        <v>23.584776996824811</v>
      </c>
      <c r="M150">
        <f t="shared" si="11"/>
        <v>26.999999999999982</v>
      </c>
      <c r="N150">
        <f t="shared" si="9"/>
        <v>3.4152230031751714</v>
      </c>
    </row>
    <row r="151" spans="1:14" x14ac:dyDescent="0.3">
      <c r="A151">
        <v>150</v>
      </c>
      <c r="B151" t="s">
        <v>159</v>
      </c>
      <c r="C151">
        <v>0.35043993410806601</v>
      </c>
      <c r="D151">
        <v>0.31622673255860101</v>
      </c>
      <c r="E151">
        <v>0.352628759055164</v>
      </c>
      <c r="F151">
        <v>0.31403790761150302</v>
      </c>
      <c r="G151">
        <v>0.35901711699840699</v>
      </c>
      <c r="H151">
        <v>0.30764954966825903</v>
      </c>
      <c r="I151">
        <v>0.66666666666666696</v>
      </c>
      <c r="J151">
        <v>24</v>
      </c>
      <c r="K151">
        <f t="shared" si="10"/>
        <v>8.4105584185935847</v>
      </c>
      <c r="L151">
        <f t="shared" si="8"/>
        <v>7.5894415814064242</v>
      </c>
      <c r="M151">
        <f t="shared" si="11"/>
        <v>16.000000000000007</v>
      </c>
      <c r="N151">
        <f t="shared" si="9"/>
        <v>8.4105584185935829</v>
      </c>
    </row>
    <row r="152" spans="1:14" x14ac:dyDescent="0.3">
      <c r="A152">
        <v>151</v>
      </c>
      <c r="B152" t="s">
        <v>160</v>
      </c>
      <c r="C152">
        <v>1.9095366368209101E-2</v>
      </c>
      <c r="D152">
        <v>0.27502228069061402</v>
      </c>
      <c r="E152">
        <v>1.9036262607307501E-2</v>
      </c>
      <c r="F152">
        <v>0.27508138445151598</v>
      </c>
      <c r="G152">
        <v>1.87669102377487E-2</v>
      </c>
      <c r="H152">
        <v>0.27535073682107503</v>
      </c>
      <c r="I152">
        <v>0.29411764705882398</v>
      </c>
      <c r="J152">
        <v>272</v>
      </c>
      <c r="K152">
        <f t="shared" si="10"/>
        <v>5.1939396521528751</v>
      </c>
      <c r="L152">
        <f t="shared" si="8"/>
        <v>74.806060347847009</v>
      </c>
      <c r="M152">
        <f t="shared" si="11"/>
        <v>80.000000000000128</v>
      </c>
      <c r="N152">
        <f t="shared" si="9"/>
        <v>5.1939396521531194</v>
      </c>
    </row>
    <row r="153" spans="1:14" x14ac:dyDescent="0.3">
      <c r="A153">
        <v>152</v>
      </c>
      <c r="B153" t="s">
        <v>161</v>
      </c>
      <c r="C153">
        <v>5.4597365314507998E-2</v>
      </c>
      <c r="D153">
        <v>0.38008196960235702</v>
      </c>
      <c r="E153">
        <v>5.4603229896285702E-2</v>
      </c>
      <c r="F153">
        <v>0.38007610502057898</v>
      </c>
      <c r="G153">
        <v>5.5871057155091303E-2</v>
      </c>
      <c r="H153">
        <v>0.378808277761773</v>
      </c>
      <c r="I153">
        <v>0.434679334916865</v>
      </c>
      <c r="J153">
        <v>842</v>
      </c>
      <c r="K153">
        <f t="shared" si="10"/>
        <v>45.970981594815733</v>
      </c>
      <c r="L153">
        <f t="shared" si="8"/>
        <v>320.02901840518462</v>
      </c>
      <c r="M153">
        <f t="shared" si="11"/>
        <v>366.00000000000034</v>
      </c>
      <c r="N153">
        <f t="shared" si="9"/>
        <v>45.970981594815726</v>
      </c>
    </row>
    <row r="154" spans="1:14" x14ac:dyDescent="0.3">
      <c r="A154">
        <v>153</v>
      </c>
      <c r="B154" t="s">
        <v>162</v>
      </c>
      <c r="C154">
        <v>2.41287401854599E-2</v>
      </c>
      <c r="D154">
        <v>0.355181604642126</v>
      </c>
      <c r="E154">
        <v>2.4150861098347898E-2</v>
      </c>
      <c r="F154">
        <v>0.355159483729238</v>
      </c>
      <c r="G154">
        <v>2.4383523189306099E-2</v>
      </c>
      <c r="H154">
        <v>0.35492682163827999</v>
      </c>
      <c r="I154">
        <v>0.37931034482758602</v>
      </c>
      <c r="J154">
        <v>29</v>
      </c>
      <c r="K154">
        <f t="shared" si="10"/>
        <v>0.69973346537833714</v>
      </c>
      <c r="L154">
        <f t="shared" si="8"/>
        <v>10.300266534621654</v>
      </c>
      <c r="M154">
        <f t="shared" si="11"/>
        <v>10.999999999999995</v>
      </c>
      <c r="N154">
        <f t="shared" si="9"/>
        <v>0.69973346537834047</v>
      </c>
    </row>
    <row r="155" spans="1:14" x14ac:dyDescent="0.3">
      <c r="A155">
        <v>154</v>
      </c>
      <c r="B155" t="s">
        <v>163</v>
      </c>
      <c r="C155">
        <v>0.14896589273052999</v>
      </c>
      <c r="D155">
        <v>0.15402500453865101</v>
      </c>
      <c r="E155">
        <v>0.14896684184513201</v>
      </c>
      <c r="F155">
        <v>0.15402405542404801</v>
      </c>
      <c r="G155">
        <v>0.18452033558641701</v>
      </c>
      <c r="H155">
        <v>0.118470561682764</v>
      </c>
      <c r="I155">
        <v>0.30299089726918099</v>
      </c>
      <c r="J155">
        <v>769</v>
      </c>
      <c r="K155">
        <f t="shared" si="10"/>
        <v>114.55477150977757</v>
      </c>
      <c r="L155">
        <f t="shared" si="8"/>
        <v>118.44522849022262</v>
      </c>
      <c r="M155">
        <f t="shared" si="11"/>
        <v>233.00000000000017</v>
      </c>
      <c r="N155">
        <f t="shared" si="9"/>
        <v>114.55477150977755</v>
      </c>
    </row>
    <row r="156" spans="1:14" x14ac:dyDescent="0.3">
      <c r="A156">
        <v>155</v>
      </c>
      <c r="B156" t="s">
        <v>164</v>
      </c>
      <c r="C156">
        <v>6.8103326359101907E-2</v>
      </c>
      <c r="D156">
        <v>0.40150993330940599</v>
      </c>
      <c r="E156">
        <v>6.8181207125566204E-2</v>
      </c>
      <c r="F156">
        <v>0.40143205254294201</v>
      </c>
      <c r="G156">
        <v>8.2122240814201997E-2</v>
      </c>
      <c r="H156">
        <v>0.38749101885430598</v>
      </c>
      <c r="I156">
        <v>0.46961325966850798</v>
      </c>
      <c r="J156">
        <v>181</v>
      </c>
      <c r="K156">
        <f t="shared" si="10"/>
        <v>12.326702070997445</v>
      </c>
      <c r="L156">
        <f t="shared" si="8"/>
        <v>72.673297929002487</v>
      </c>
      <c r="M156">
        <f t="shared" si="11"/>
        <v>84.999999999999943</v>
      </c>
      <c r="N156">
        <f t="shared" si="9"/>
        <v>12.326702070997456</v>
      </c>
    </row>
    <row r="157" spans="1:14" x14ac:dyDescent="0.3">
      <c r="A157">
        <v>156</v>
      </c>
      <c r="B157" t="s">
        <v>165</v>
      </c>
      <c r="C157">
        <v>0.15161340802123499</v>
      </c>
      <c r="D157">
        <v>0.39159646852197499</v>
      </c>
      <c r="E157">
        <v>0.151701102140853</v>
      </c>
      <c r="F157">
        <v>0.39150877440235698</v>
      </c>
      <c r="G157">
        <v>0.152224406626084</v>
      </c>
      <c r="H157">
        <v>0.39098546991712602</v>
      </c>
      <c r="I157">
        <v>0.54320987654320996</v>
      </c>
      <c r="J157">
        <v>567</v>
      </c>
      <c r="K157">
        <f t="shared" si="10"/>
        <v>85.964802348040237</v>
      </c>
      <c r="L157">
        <f t="shared" si="8"/>
        <v>222.03519765195983</v>
      </c>
      <c r="M157">
        <f t="shared" si="11"/>
        <v>308.00000000000006</v>
      </c>
      <c r="N157">
        <f t="shared" si="9"/>
        <v>85.964802348040223</v>
      </c>
    </row>
    <row r="158" spans="1:14" x14ac:dyDescent="0.3">
      <c r="A158">
        <v>157</v>
      </c>
      <c r="B158" t="s">
        <v>166</v>
      </c>
      <c r="C158">
        <v>6.9060768023500599E-2</v>
      </c>
      <c r="D158">
        <v>0.307562608599876</v>
      </c>
      <c r="E158">
        <v>6.9758425650694095E-2</v>
      </c>
      <c r="F158">
        <v>0.30686495097268202</v>
      </c>
      <c r="G158">
        <v>7.4197839939890597E-2</v>
      </c>
      <c r="H158">
        <v>0.30242553668348598</v>
      </c>
      <c r="I158">
        <v>0.37662337662337703</v>
      </c>
      <c r="J158">
        <v>231</v>
      </c>
      <c r="K158">
        <f t="shared" si="10"/>
        <v>15.953037413428639</v>
      </c>
      <c r="L158">
        <f t="shared" si="8"/>
        <v>71.046962586571354</v>
      </c>
      <c r="M158">
        <f t="shared" si="11"/>
        <v>87.000000000000099</v>
      </c>
      <c r="N158">
        <f t="shared" si="9"/>
        <v>15.953037413428746</v>
      </c>
    </row>
    <row r="159" spans="1:14" x14ac:dyDescent="0.3">
      <c r="A159">
        <v>158</v>
      </c>
      <c r="B159" t="s">
        <v>167</v>
      </c>
      <c r="C159">
        <v>3.7426969012614698E-2</v>
      </c>
      <c r="D159">
        <v>0.37328731670167098</v>
      </c>
      <c r="E159">
        <v>3.8361841002347297E-2</v>
      </c>
      <c r="F159">
        <v>0.37235244471193801</v>
      </c>
      <c r="G159">
        <v>5.1041793559877001E-2</v>
      </c>
      <c r="H159">
        <v>0.359672492154409</v>
      </c>
      <c r="I159">
        <v>0.41071428571428598</v>
      </c>
      <c r="J159">
        <v>112</v>
      </c>
      <c r="K159">
        <f t="shared" si="10"/>
        <v>4.1918205294128459</v>
      </c>
      <c r="L159">
        <f t="shared" si="8"/>
        <v>41.808179470587149</v>
      </c>
      <c r="M159">
        <f t="shared" si="11"/>
        <v>46.000000000000028</v>
      </c>
      <c r="N159">
        <f t="shared" si="9"/>
        <v>4.1918205294128796</v>
      </c>
    </row>
    <row r="160" spans="1:14" x14ac:dyDescent="0.3">
      <c r="A160">
        <v>159</v>
      </c>
      <c r="B160" t="s">
        <v>168</v>
      </c>
      <c r="C160">
        <v>0.15609503162091001</v>
      </c>
      <c r="D160">
        <v>0.33259275118451997</v>
      </c>
      <c r="E160">
        <v>0.156471010064231</v>
      </c>
      <c r="F160">
        <v>0.33221677274119898</v>
      </c>
      <c r="G160">
        <v>0.16104935713813401</v>
      </c>
      <c r="H160">
        <v>0.32763842566729601</v>
      </c>
      <c r="I160">
        <v>0.48868778280543002</v>
      </c>
      <c r="J160">
        <v>442</v>
      </c>
      <c r="K160">
        <f t="shared" si="10"/>
        <v>68.994003976442229</v>
      </c>
      <c r="L160">
        <f t="shared" si="8"/>
        <v>147.00599602355783</v>
      </c>
      <c r="M160">
        <f t="shared" si="11"/>
        <v>216.00000000000006</v>
      </c>
      <c r="N160">
        <f t="shared" si="9"/>
        <v>68.994003976442229</v>
      </c>
    </row>
    <row r="161" spans="1:14" x14ac:dyDescent="0.3">
      <c r="A161">
        <v>160</v>
      </c>
      <c r="B161" t="s">
        <v>169</v>
      </c>
      <c r="C161">
        <v>-0.120984661661606</v>
      </c>
      <c r="D161">
        <v>0.87098466166160604</v>
      </c>
      <c r="E161">
        <v>-0.119466716397337</v>
      </c>
      <c r="F161">
        <v>0.86946671639733697</v>
      </c>
      <c r="G161">
        <v>-5.8361711690682903E-2</v>
      </c>
      <c r="H161">
        <v>0.80836171169068305</v>
      </c>
      <c r="I161">
        <v>0.75</v>
      </c>
      <c r="J161">
        <v>80</v>
      </c>
      <c r="K161">
        <f t="shared" si="10"/>
        <v>-9.6787729329284797</v>
      </c>
      <c r="L161">
        <f t="shared" si="8"/>
        <v>69.678772932928482</v>
      </c>
      <c r="M161">
        <f t="shared" si="11"/>
        <v>60</v>
      </c>
      <c r="N161">
        <f t="shared" si="9"/>
        <v>-9.6787729329284815</v>
      </c>
    </row>
    <row r="162" spans="1:14" x14ac:dyDescent="0.3">
      <c r="A162">
        <v>161</v>
      </c>
      <c r="B162" t="s">
        <v>170</v>
      </c>
      <c r="C162">
        <v>3.72694895039253E-2</v>
      </c>
      <c r="D162">
        <v>0.29482006273488098</v>
      </c>
      <c r="E162">
        <v>3.7529454543572101E-2</v>
      </c>
      <c r="F162">
        <v>0.294560097695234</v>
      </c>
      <c r="G162">
        <v>4.0206726164389597E-2</v>
      </c>
      <c r="H162">
        <v>0.29188282607441601</v>
      </c>
      <c r="I162">
        <v>0.33208955223880599</v>
      </c>
      <c r="J162">
        <v>268</v>
      </c>
      <c r="K162">
        <f t="shared" si="10"/>
        <v>9.9882231870519806</v>
      </c>
      <c r="L162">
        <f t="shared" si="8"/>
        <v>79.011776812948099</v>
      </c>
      <c r="M162">
        <f t="shared" si="11"/>
        <v>89</v>
      </c>
      <c r="N162">
        <f t="shared" si="9"/>
        <v>9.9882231870519007</v>
      </c>
    </row>
    <row r="163" spans="1:14" x14ac:dyDescent="0.3">
      <c r="A163">
        <v>162</v>
      </c>
      <c r="B163" t="s">
        <v>171</v>
      </c>
      <c r="C163">
        <v>3.1005767711728301E-2</v>
      </c>
      <c r="D163">
        <v>0.36405596068333301</v>
      </c>
      <c r="E163">
        <v>3.14175567428258E-2</v>
      </c>
      <c r="F163">
        <v>0.363644171652236</v>
      </c>
      <c r="G163">
        <v>3.5801072668245899E-2</v>
      </c>
      <c r="H163">
        <v>0.35926065572681598</v>
      </c>
      <c r="I163">
        <v>0.39506172839506198</v>
      </c>
      <c r="J163">
        <v>162</v>
      </c>
      <c r="K163">
        <f t="shared" si="10"/>
        <v>5.0229343692999846</v>
      </c>
      <c r="L163">
        <f t="shared" si="8"/>
        <v>58.977065630699947</v>
      </c>
      <c r="M163">
        <f t="shared" si="11"/>
        <v>64.000000000000043</v>
      </c>
      <c r="N163">
        <f t="shared" si="9"/>
        <v>5.0229343693000956</v>
      </c>
    </row>
    <row r="164" spans="1:14" x14ac:dyDescent="0.3">
      <c r="A164">
        <v>163</v>
      </c>
      <c r="B164" t="s">
        <v>172</v>
      </c>
      <c r="C164">
        <v>-3.8009314499933597E-2</v>
      </c>
      <c r="D164">
        <v>0.88907314428716799</v>
      </c>
      <c r="E164">
        <v>-3.7275169930878697E-2</v>
      </c>
      <c r="F164">
        <v>0.88833899971811303</v>
      </c>
      <c r="G164">
        <v>1.7685287544763999E-2</v>
      </c>
      <c r="H164">
        <v>0.83337854224246999</v>
      </c>
      <c r="I164">
        <v>0.85106382978723405</v>
      </c>
      <c r="J164">
        <v>47</v>
      </c>
      <c r="K164">
        <f t="shared" si="10"/>
        <v>-1.786437781496879</v>
      </c>
      <c r="L164">
        <f t="shared" si="8"/>
        <v>41.786437781496893</v>
      </c>
      <c r="M164">
        <f t="shared" si="11"/>
        <v>40</v>
      </c>
      <c r="N164">
        <f t="shared" si="9"/>
        <v>-1.7864377814968933</v>
      </c>
    </row>
    <row r="165" spans="1:14" x14ac:dyDescent="0.3">
      <c r="A165">
        <v>164</v>
      </c>
      <c r="B165" t="s">
        <v>173</v>
      </c>
      <c r="C165">
        <v>1.53994202693631E-2</v>
      </c>
      <c r="D165">
        <v>0.81438781377319003</v>
      </c>
      <c r="E165">
        <v>1.6272160531636101E-2</v>
      </c>
      <c r="F165">
        <v>0.81351507351091701</v>
      </c>
      <c r="G165">
        <v>7.9719185733464606E-2</v>
      </c>
      <c r="H165">
        <v>0.75006804830908902</v>
      </c>
      <c r="I165">
        <v>0.82978723404255295</v>
      </c>
      <c r="J165">
        <v>47</v>
      </c>
      <c r="K165">
        <f t="shared" si="10"/>
        <v>0.72377275266006569</v>
      </c>
      <c r="L165">
        <f t="shared" si="8"/>
        <v>38.276227247339932</v>
      </c>
      <c r="M165">
        <f t="shared" si="11"/>
        <v>38.999999999999986</v>
      </c>
      <c r="N165">
        <f t="shared" si="9"/>
        <v>0.7237727526600537</v>
      </c>
    </row>
    <row r="166" spans="1:14" x14ac:dyDescent="0.3">
      <c r="A166">
        <v>165</v>
      </c>
      <c r="B166" t="s">
        <v>174</v>
      </c>
      <c r="C166">
        <v>7.0027502083080201E-2</v>
      </c>
      <c r="D166">
        <v>0.78103632770415399</v>
      </c>
      <c r="E166">
        <v>7.0958249956181205E-2</v>
      </c>
      <c r="F166">
        <v>0.780105579831053</v>
      </c>
      <c r="G166">
        <v>0.118826387951758</v>
      </c>
      <c r="H166">
        <v>0.73223744183547601</v>
      </c>
      <c r="I166">
        <v>0.85106382978723405</v>
      </c>
      <c r="J166">
        <v>47</v>
      </c>
      <c r="K166">
        <f t="shared" si="10"/>
        <v>3.2912925979047696</v>
      </c>
      <c r="L166">
        <f t="shared" si="8"/>
        <v>36.708707402095236</v>
      </c>
      <c r="M166">
        <f t="shared" si="11"/>
        <v>40</v>
      </c>
      <c r="N166">
        <f t="shared" si="9"/>
        <v>3.2912925979047642</v>
      </c>
    </row>
    <row r="167" spans="1:14" x14ac:dyDescent="0.3">
      <c r="A167">
        <v>166</v>
      </c>
      <c r="B167" t="s">
        <v>175</v>
      </c>
      <c r="C167">
        <v>-7.8468715055642194E-2</v>
      </c>
      <c r="D167">
        <v>0.88697935335351497</v>
      </c>
      <c r="E167">
        <v>-7.7944835013390903E-2</v>
      </c>
      <c r="F167">
        <v>0.88645547331126295</v>
      </c>
      <c r="G167">
        <v>-1.30147352896537E-2</v>
      </c>
      <c r="H167">
        <v>0.82152537358752598</v>
      </c>
      <c r="I167">
        <v>0.80851063829787195</v>
      </c>
      <c r="J167">
        <v>47</v>
      </c>
      <c r="K167">
        <f t="shared" si="10"/>
        <v>-3.6880296076151833</v>
      </c>
      <c r="L167">
        <f t="shared" si="8"/>
        <v>41.688029607615206</v>
      </c>
      <c r="M167">
        <f t="shared" si="11"/>
        <v>37.999999999999979</v>
      </c>
      <c r="N167">
        <f t="shared" si="9"/>
        <v>-3.6880296076152277</v>
      </c>
    </row>
    <row r="168" spans="1:14" x14ac:dyDescent="0.3">
      <c r="A168">
        <v>167</v>
      </c>
      <c r="B168" t="s">
        <v>176</v>
      </c>
      <c r="C168">
        <v>9.0231727946527202E-2</v>
      </c>
      <c r="D168">
        <v>0.62405398633918696</v>
      </c>
      <c r="E168">
        <v>9.1069605116822702E-2</v>
      </c>
      <c r="F168">
        <v>0.62321610916889203</v>
      </c>
      <c r="G168">
        <v>0.107706940165352</v>
      </c>
      <c r="H168">
        <v>0.60657877412036298</v>
      </c>
      <c r="I168">
        <v>0.71428571428571397</v>
      </c>
      <c r="J168">
        <v>21</v>
      </c>
      <c r="K168">
        <f t="shared" si="10"/>
        <v>1.8948662868770711</v>
      </c>
      <c r="L168">
        <f t="shared" si="8"/>
        <v>13.105133713122926</v>
      </c>
      <c r="M168">
        <f t="shared" si="11"/>
        <v>14.999999999999993</v>
      </c>
      <c r="N168">
        <f t="shared" si="9"/>
        <v>1.8948662868770665</v>
      </c>
    </row>
    <row r="169" spans="1:14" x14ac:dyDescent="0.3">
      <c r="A169">
        <v>168</v>
      </c>
      <c r="B169" t="s">
        <v>177</v>
      </c>
      <c r="C169">
        <v>1.8593606936647501E-2</v>
      </c>
      <c r="D169">
        <v>0.60045401211097105</v>
      </c>
      <c r="E169">
        <v>1.9292403212064602E-2</v>
      </c>
      <c r="F169">
        <v>0.59975521583555402</v>
      </c>
      <c r="G169">
        <v>3.5027832910298998E-2</v>
      </c>
      <c r="H169">
        <v>0.58401978613731997</v>
      </c>
      <c r="I169">
        <v>0.61904761904761896</v>
      </c>
      <c r="J169">
        <v>21</v>
      </c>
      <c r="K169">
        <f t="shared" si="10"/>
        <v>0.39046574566959752</v>
      </c>
      <c r="L169">
        <f t="shared" si="8"/>
        <v>12.609534254330391</v>
      </c>
      <c r="M169">
        <f t="shared" si="11"/>
        <v>12.999999999999998</v>
      </c>
      <c r="N169">
        <f t="shared" si="9"/>
        <v>0.39046574566960679</v>
      </c>
    </row>
    <row r="170" spans="1:14" x14ac:dyDescent="0.3">
      <c r="A170">
        <v>169</v>
      </c>
      <c r="B170" t="s">
        <v>178</v>
      </c>
      <c r="C170">
        <v>0.15179349889570201</v>
      </c>
      <c r="D170">
        <v>0.75038041414777701</v>
      </c>
      <c r="E170">
        <v>0.15207305586662001</v>
      </c>
      <c r="F170">
        <v>0.75010085717685804</v>
      </c>
      <c r="G170">
        <v>0.16818934547717401</v>
      </c>
      <c r="H170">
        <v>0.73398456756630404</v>
      </c>
      <c r="I170">
        <v>0.90217391304347805</v>
      </c>
      <c r="J170">
        <v>184</v>
      </c>
      <c r="K170">
        <f t="shared" si="10"/>
        <v>27.930003796809171</v>
      </c>
      <c r="L170">
        <f t="shared" si="8"/>
        <v>138.06999620319098</v>
      </c>
      <c r="M170">
        <f t="shared" si="11"/>
        <v>165.99999999999997</v>
      </c>
      <c r="N170">
        <f t="shared" si="9"/>
        <v>27.93000379680899</v>
      </c>
    </row>
    <row r="171" spans="1:14" x14ac:dyDescent="0.3">
      <c r="A171">
        <v>170</v>
      </c>
      <c r="B171" t="s">
        <v>179</v>
      </c>
      <c r="C171">
        <v>-0.18756657784456299</v>
      </c>
      <c r="D171">
        <v>0.505748396026381</v>
      </c>
      <c r="E171">
        <v>-0.18651996243205801</v>
      </c>
      <c r="F171">
        <v>0.50470178061387605</v>
      </c>
      <c r="G171">
        <v>-0.173916521341377</v>
      </c>
      <c r="H171">
        <v>0.49209833952319498</v>
      </c>
      <c r="I171">
        <v>0.31818181818181801</v>
      </c>
      <c r="J171">
        <v>66</v>
      </c>
      <c r="K171">
        <f t="shared" si="10"/>
        <v>-12.379394137741157</v>
      </c>
      <c r="L171">
        <f t="shared" si="8"/>
        <v>33.379394137741144</v>
      </c>
      <c r="M171">
        <f t="shared" si="11"/>
        <v>20.999999999999989</v>
      </c>
      <c r="N171">
        <f t="shared" si="9"/>
        <v>-12.379394137741155</v>
      </c>
    </row>
    <row r="172" spans="1:14" x14ac:dyDescent="0.3">
      <c r="A172">
        <v>171</v>
      </c>
      <c r="B172" t="s">
        <v>180</v>
      </c>
      <c r="C172">
        <v>0.12631875614266999</v>
      </c>
      <c r="D172">
        <v>0.579563596798506</v>
      </c>
      <c r="E172">
        <v>0.126532923351282</v>
      </c>
      <c r="F172">
        <v>0.57934942958989399</v>
      </c>
      <c r="G172">
        <v>0.12711256882654501</v>
      </c>
      <c r="H172">
        <v>0.57876978411463098</v>
      </c>
      <c r="I172">
        <v>0.70588235294117696</v>
      </c>
      <c r="J172">
        <v>17</v>
      </c>
      <c r="K172">
        <f t="shared" si="10"/>
        <v>2.14741885442539</v>
      </c>
      <c r="L172">
        <f t="shared" si="8"/>
        <v>9.852581145574602</v>
      </c>
      <c r="M172">
        <f t="shared" si="11"/>
        <v>12.000000000000009</v>
      </c>
      <c r="N172">
        <f t="shared" si="9"/>
        <v>2.1474188544254069</v>
      </c>
    </row>
    <row r="173" spans="1:14" x14ac:dyDescent="0.3">
      <c r="A173">
        <v>172</v>
      </c>
      <c r="B173" t="s">
        <v>181</v>
      </c>
      <c r="C173">
        <v>0.10535038814691999</v>
      </c>
      <c r="D173">
        <v>0.25250914362565602</v>
      </c>
      <c r="E173">
        <v>0.10534974743603299</v>
      </c>
      <c r="F173">
        <v>0.25250978433654198</v>
      </c>
      <c r="G173">
        <v>0.105164216584385</v>
      </c>
      <c r="H173">
        <v>0.25269531518819</v>
      </c>
      <c r="I173">
        <v>0.35785953177257501</v>
      </c>
      <c r="J173">
        <v>598</v>
      </c>
      <c r="K173">
        <f t="shared" si="10"/>
        <v>62.999532111858159</v>
      </c>
      <c r="L173">
        <f t="shared" si="8"/>
        <v>151.00046788814231</v>
      </c>
      <c r="M173">
        <f t="shared" si="11"/>
        <v>213.99999999999986</v>
      </c>
      <c r="N173">
        <f t="shared" si="9"/>
        <v>62.999532111857548</v>
      </c>
    </row>
    <row r="174" spans="1:14" ht="15.6" x14ac:dyDescent="0.3">
      <c r="H174" s="2"/>
      <c r="I174" s="2" t="s">
        <v>182</v>
      </c>
      <c r="J174" s="2">
        <f>SUM(J2:J173)</f>
        <v>63730</v>
      </c>
      <c r="K174" s="2">
        <f t="shared" ref="K174:M174" si="12">SUM(K2:K173)</f>
        <v>2839.3560372735387</v>
      </c>
      <c r="L174" s="2">
        <f t="shared" si="12"/>
        <v>23854.643962726466</v>
      </c>
      <c r="M174" s="2">
        <f t="shared" si="12"/>
        <v>26693.999999999996</v>
      </c>
      <c r="N174">
        <f t="shared" si="9"/>
        <v>2839.3560372735301</v>
      </c>
    </row>
    <row r="175" spans="1:14" ht="15.6" x14ac:dyDescent="0.3">
      <c r="H175" s="2"/>
      <c r="I175" s="2"/>
      <c r="J175" s="2" t="s">
        <v>187</v>
      </c>
      <c r="K175" s="2"/>
      <c r="L175" s="2"/>
    </row>
    <row r="176" spans="1:14" ht="15.6" x14ac:dyDescent="0.3">
      <c r="H176" s="2"/>
      <c r="I176" s="2"/>
      <c r="J176" s="2" t="s">
        <v>189</v>
      </c>
      <c r="K176" s="2">
        <f>K174/J174</f>
        <v>4.4552895610756926E-2</v>
      </c>
      <c r="L176" s="2">
        <f>L174/J174</f>
        <v>0.37430792346973901</v>
      </c>
    </row>
    <row r="177" spans="8:12" ht="15.6" x14ac:dyDescent="0.3">
      <c r="H177" s="2"/>
      <c r="I177" s="2"/>
      <c r="J177" s="2"/>
      <c r="K177" s="2"/>
      <c r="L177" s="2"/>
    </row>
    <row r="178" spans="8:12" ht="15.6" x14ac:dyDescent="0.3">
      <c r="H178" s="3"/>
      <c r="I178" s="3"/>
      <c r="J178" s="3" t="s">
        <v>187</v>
      </c>
      <c r="K178" s="3" t="s">
        <v>188</v>
      </c>
      <c r="L178" s="3">
        <f>K176/SQRT((L176*(1-L176))/J174)</f>
        <v>23.240906130036901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Stanley, Tom</cp:lastModifiedBy>
  <dcterms:created xsi:type="dcterms:W3CDTF">2026-05-29T19:31:28Z</dcterms:created>
  <dcterms:modified xsi:type="dcterms:W3CDTF">2026-06-16T16:12:38Z</dcterms:modified>
</cp:coreProperties>
</file>